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Leia-me" sheetId="1" r:id="rId4"/>
    <sheet name="Premissas" sheetId="2" r:id="rId5"/>
    <sheet name="Valor do crédito" sheetId="3" r:id="rId6"/>
    <sheet name="Cota e economia" sheetId="4" r:id="rId7"/>
    <sheet name="Unit economics" sheetId="5" r:id="rId8"/>
    <sheet name="Cenários Fio B" sheetId="6" r:id="rId9"/>
    <sheet name="Meu modelo" sheetId="7" r:id="rId10"/>
    <sheet name="Funil e metas" sheetId="8" r:id="rId11"/>
    <sheet name="Plano de ocupação" sheetId="9" r:id="rId12"/>
    <sheet name="Painel de indicadores" sheetId="10" r:id="rId13"/>
  </sheets>
  <definedNames/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Exemplo do curso. Fonte real: tarifas homologadas da distribuidora (ANEEL).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Exemplo do curso. Fonte real: detalhamento da TUSD da distribuidora.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Alíquota do seu estado. [CONFERIR com contador]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Varia mês a mês na fatura. Exemplo do curso.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 reproduz os exemplos do curso. Use a regra do seu estado indicada pelo contador.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Lei 14.300/2022.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Lei 14.300/2022.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Lei 14.300/2022.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CENÁRIO: regra de 2029+ depende da valoração da ANEEL.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Padrão do curso (Configurações Padrão → Taxa de desconto).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Padrão do curso (Configurações Padrão → Taxa de administração).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Brasil: ~100 a 140 conforme a região (Atlas Brasileiro de Energia Solar, INPE).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Curso: 90% a 95% da cota calculada.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Exemplo. [CONFERIR tarifas atuais do Mercado Pago]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Exemplo. Use o percentual do seu regime (contador).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Ordem de grandeza ilustrativa. [CONFERIR com orçamentos atuais]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Média da sua carteira (empresas puxam para cima).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Ex.: 1 mensalidade, paga após a 1ª cobrança paga.</t>
        </r>
      </text>
    </comment>
  </commentList>
</comments>
</file>

<file path=xl/sharedStrings.xml><?xml version="1.0" encoding="utf-8"?>
<sst xmlns="http://schemas.openxmlformats.org/spreadsheetml/2006/main" uniqueCount="248">
  <si>
    <t>Calculadora do curso — Empresa de Assinatura de Energia Solar</t>
  </si>
  <si>
    <t>Como usar</t>
  </si>
  <si>
    <t>1. Comece pela aba "Premissas": tarifa da sua distribuidora, tributos, desconto, taxa de administração e usina.</t>
  </si>
  <si>
    <t>2. As outras abas usam essas premissas. Edite só as células amarelas com texto azul.</t>
  </si>
  <si>
    <t>3. Células em preto são fórmulas; em verde, valores trazidos de outra aba. Não sobrescreva.</t>
  </si>
  <si>
    <t>Abas (e onde aparecem no curso)</t>
  </si>
  <si>
    <t>Premissas — M2 a07 / M3 a06 · Valor do crédito — M1 a07, M2 a05 e a07 · Cota e economia — M2 a06, M5 a02</t>
  </si>
  <si>
    <t>Unit economics — M3 a04 · Cenários Fio B — M3 a05 · Meu modelo — M3 a06 · Funil e metas — M5 a05</t>
  </si>
  <si>
    <t>Plano de ocupação — M6 a05 e a06 · Painel de indicadores — M10 a01 e a05</t>
  </si>
  <si>
    <t>Avisos importantes</t>
  </si>
  <si>
    <t>• Os valores iniciais são os EXEMPLOS ILUSTRATIVOS do curso (tarifa R$ 0,80/kWh sem impostos, Fio B R$ 0,20). Troque pelos da sua distribuidora (tarifas homologadas no site da ANEEL).</t>
  </si>
  <si>
    <t>• Fio B não compensado (GD II, Lei 14.300/2022): 2026: 60% · 2027: 75% · 2028: 90%. 2029 em diante é CENÁRIO: depende da valoração da ANEEL.</t>
  </si>
  <si>
    <t>• A tributação sobre a energia compensada depende do estado (Convênio ICMS 16/2015) e da reforma tributária. Use a regra que o seu contador indicar (aba Premissas).</t>
  </si>
  <si>
    <t>• Simplificações: sem iluminação pública, bandeiras e diferenças de ciclo de leitura; confira a economia real numa fatura.</t>
  </si>
  <si>
    <t>• Material educacional: não é recomendação de investimento nem parecer jurídico ou tributário.</t>
  </si>
  <si>
    <t>Legenda de cores</t>
  </si>
  <si>
    <t>Entrada (editar)</t>
  </si>
  <si>
    <t>Fórmula (não editar)</t>
  </si>
  <si>
    <t>Valor trazido de outra aba</t>
  </si>
  <si>
    <t>Premissas — edite aqui os números da sua distribuidora e do seu negócio</t>
  </si>
  <si>
    <t>Tarifa sem impostos (R$/kWh) — subgrupo que você atende</t>
  </si>
  <si>
    <t>TE — Tarifa de Energia</t>
  </si>
  <si>
    <t>TUSD — Tarifa de Uso do Sistema de Distribuição</t>
  </si>
  <si>
    <t>Fio B (parcela da TUSD)</t>
  </si>
  <si>
    <t>Tarifa sem impostos (TE + TUSD)</t>
  </si>
  <si>
    <t>Tributos</t>
  </si>
  <si>
    <t>ICMS</t>
  </si>
  <si>
    <t>PIS + COFINS</t>
  </si>
  <si>
    <t>Tarifa com impostos (cálculo "por dentro")</t>
  </si>
  <si>
    <t>Tributos incidem sobre o valor do crédito compensado? (1 = sim, 0 = não)</t>
  </si>
  <si>
    <t>Alíquota "por dentro" aplicada ao crédito</t>
  </si>
  <si>
    <t>Transição do Fio B (GD II) — parcela NÃO compensada</t>
  </si>
  <si>
    <t>Ano</t>
  </si>
  <si>
    <t>% do Fio B pago</t>
  </si>
  <si>
    <t>2029 (cenário)</t>
  </si>
  <si>
    <t>Cenário — ajuste para testar 2029 em diante.</t>
  </si>
  <si>
    <t>Seu negócio</t>
  </si>
  <si>
    <t>Desconto ao cliente (% do valor do crédito)</t>
  </si>
  <si>
    <t>Taxa de administração da gestora (% do valor do crédito)</t>
  </si>
  <si>
    <t>Ano de referência para os cálculos (2026 a 2029)</t>
  </si>
  <si>
    <t>Usina de referência</t>
  </si>
  <si>
    <t>Potência (kWp)</t>
  </si>
  <si>
    <t>Produtividade (kWh/kWp/mês)</t>
  </si>
  <si>
    <t>Geração média mensal (kWh)</t>
  </si>
  <si>
    <t>Valor do crédito por ano (GD II) — quanto vale 1 kWh compensado</t>
  </si>
  <si>
    <t>Tarifa</t>
  </si>
  <si>
    <t>Tarifa sem impostos</t>
  </si>
  <si>
    <t>Tarifa com impostos</t>
  </si>
  <si>
    <t>Fio B (sem impostos)</t>
  </si>
  <si>
    <t>Valor do crédito ano a ano</t>
  </si>
  <si>
    <t>% Fio B pago</t>
  </si>
  <si>
    <t>Fio B pago</t>
  </si>
  <si>
    <t>Crédito s/ impostos</t>
  </si>
  <si>
    <t>Crédito c/ impostos</t>
  </si>
  <si>
    <t>Variação vs 2026</t>
  </si>
  <si>
    <t>No ano de referência (usado nas outras abas)</t>
  </si>
  <si>
    <t>Ano de referência</t>
  </si>
  <si>
    <t>Linha do ano (1 = 2026 … 4 = 2029)</t>
  </si>
  <si>
    <t>Crédito sem impostos (R$/kWh)</t>
  </si>
  <si>
    <t>Crédito com impostos (R$/kWh)</t>
  </si>
  <si>
    <t>Fio B pago com impostos (R$/kWh)</t>
  </si>
  <si>
    <t>Na plataforma: Configurações → Concessionárias → "Tarifa GD2" = crédito sem impostos do ano corrente (M2 aula 7).</t>
  </si>
  <si>
    <t>Cota ideal, % de rateio e economia real do cliente (conta total)</t>
  </si>
  <si>
    <t>Cliente (exemplo do curso: Clínica, trifásica)</t>
  </si>
  <si>
    <t>Nome do cliente</t>
  </si>
  <si>
    <t>Clínica (exemplo)</t>
  </si>
  <si>
    <t>Tipo de ligação</t>
  </si>
  <si>
    <t>Trifásica</t>
  </si>
  <si>
    <t>Margem de segurança da cota</t>
  </si>
  <si>
    <t>Histórico</t>
  </si>
  <si>
    <t>Consumo (kWh)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</si>
  <si>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</si>
  <si>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</si>
  <si>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</si>
  <si>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</si>
  <si>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</si>
  <si>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</si>
  <si>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</si>
  <si>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</si>
  <si>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</si>
  <si>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</si>
  <si>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</si>
  <si>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</si>
  <si>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Copie o histórico impresso na conta de luz.</t>
  </si>
  <si>
    <t>Cota</t>
  </si>
  <si>
    <t>Ligação</t>
  </si>
  <si>
    <t>Custo disp. (kWh)</t>
  </si>
  <si>
    <t>Monofásica</t>
  </si>
  <si>
    <t>Bifásica</t>
  </si>
  <si>
    <t>Consumo médio mensal (12 meses)</t>
  </si>
  <si>
    <t>Custo de disponibilidade</t>
  </si>
  <si>
    <t>Cota ideal = (média − custo de disponibilidade) × margem</t>
  </si>
  <si>
    <t>Geração média da usina</t>
  </si>
  <si>
    <t>% de rateio na usina</t>
  </si>
  <si>
    <t>Economia na conta total (ano de referência)</t>
  </si>
  <si>
    <t>Conta hoje (média × tarifa com impostos)</t>
  </si>
  <si>
    <t>Distribuidora: consumo fora da cota (no mínimo, o custo de disponibilidade)</t>
  </si>
  <si>
    <t>Distribuidora: Fio B não compensado sobre a cota</t>
  </si>
  <si>
    <t>Sua cobrança: cota × crédito com impostos × (1 − desconto)</t>
  </si>
  <si>
    <t>Total com assinatura</t>
  </si>
  <si>
    <t>Economia por mês</t>
  </si>
  <si>
    <t>Economia por ano</t>
  </si>
  <si>
    <t>Economia em % da conta total</t>
  </si>
  <si>
    <t>O desconto é sobre a energia compensada — por isso a economia na conta total é menor que o desconto (M3 aula 4).</t>
  </si>
  <si>
    <t>Unit economics — divisão do kWh e margem por usina</t>
  </si>
  <si>
    <t>Divisão de 1 kWh compensado (sem impostos, ano de referência)</t>
  </si>
  <si>
    <t>Valor do crédito (R$/kWh)</t>
  </si>
  <si>
    <t>Desconto ao cliente</t>
  </si>
  <si>
    <t>Taxa de administração</t>
  </si>
  <si>
    <t>Cliente paga por kWh</t>
  </si>
  <si>
    <t>Economia do cliente por kWh</t>
  </si>
  <si>
    <t>Gestora (taxa) por kWh</t>
  </si>
  <si>
    <t>Repasse ao produtor por kWh</t>
  </si>
  <si>
    <t>Por usina, por mês (100% alocada e paga)</t>
  </si>
  <si>
    <t>Energia alocada (kWh/mês)</t>
  </si>
  <si>
    <t>Clientes pagam (R$/mês)</t>
  </si>
  <si>
    <t>Economia dos clientes (R$/mês)</t>
  </si>
  <si>
    <t>Taxa de administração da gestora (R$/mês)</t>
  </si>
  <si>
    <t>Repasse ao produtor (R$/mês)</t>
  </si>
  <si>
    <t>Custos variáveis da gestora</t>
  </si>
  <si>
    <t>Meio de pagamento (% do que os clientes pagam)</t>
  </si>
  <si>
    <t>Reserva de inadimplência (% do que os clientes pagam)</t>
  </si>
  <si>
    <t>Impostos da gestora (% da taxa)</t>
  </si>
  <si>
    <t>Meio de pagamento (R$/mês)</t>
  </si>
  <si>
    <t>Inadimplência (R$/mês)</t>
  </si>
  <si>
    <t>Impostos (R$/mês)</t>
  </si>
  <si>
    <t>Margem de contribuição por usina (R$/mês)</t>
  </si>
  <si>
    <t>Margem de contribuição por kWh</t>
  </si>
  <si>
    <t>Visão do produtor (investimento na usina)</t>
  </si>
  <si>
    <t>Custo da usina (R$/Wp)</t>
  </si>
  <si>
    <t>Investimento (R$)</t>
  </si>
  <si>
    <t>O&amp;M + seguro (R$/ano)</t>
  </si>
  <si>
    <t>Receita anual do produtor (R$)</t>
  </si>
  <si>
    <t>Receita líquida anual (R$)</t>
  </si>
  <si>
    <t>Retorno simples (anos)</t>
  </si>
  <si>
    <t>Rentabilidade anual (líquida ÷ investimento)</t>
  </si>
  <si>
    <t>Cenários Fio B — quem absorve a queda do crédito</t>
  </si>
  <si>
    <t>Política A: desconto e taxa em % do crédito (todos dividem o impacto)</t>
  </si>
  <si>
    <t>Crédito</t>
  </si>
  <si>
    <t>Economia cliente</t>
  </si>
  <si>
    <t>Gestora</t>
  </si>
  <si>
    <t>Produtor</t>
  </si>
  <si>
    <t>Política B: preço fixo por kWh ao cliente (cliente perde economia)</t>
  </si>
  <si>
    <t>Preço fixo cobrado (R$/kWh)</t>
  </si>
  <si>
    <t>Igual ao que o cliente paga em 2026 na política A.</t>
  </si>
  <si>
    <t>Economia do cliente por kWh: comparação</t>
  </si>
  <si>
    <t>Política A</t>
  </si>
  <si>
    <t>Var. A</t>
  </si>
  <si>
    <t>Política B</t>
  </si>
  <si>
    <t>Var. B</t>
  </si>
  <si>
    <t>Tarifa constante (cenário de estresse); reajustes costumam compensar parte da queda. Recomendação do curso: política A + cláusula de reequilíbrio.</t>
  </si>
  <si>
    <t>Meu modelo — ponto de equilíbrio, capital de giro e projeção de 36 meses</t>
  </si>
  <si>
    <t>Custos fixos mensais (exemplo do curso: R$ 18.000)</t>
  </si>
  <si>
    <t>Operador (com encargos)</t>
  </si>
  <si>
    <t>Vendedor — parte fixa (com encargos)</t>
  </si>
  <si>
    <t>Plataforma</t>
  </si>
  <si>
    <t>Contador</t>
  </si>
  <si>
    <t>Jurídico</t>
  </si>
  <si>
    <t>Escritório, marketing e outros</t>
  </si>
  <si>
    <t>Total de custos fixos</t>
  </si>
  <si>
    <t>Premissas comerciais</t>
  </si>
  <si>
    <t>Cota média por cliente (kWh/mês)</t>
  </si>
  <si>
    <t>Novos clientes por mês</t>
  </si>
  <si>
    <t>Churn mensal</t>
  </si>
  <si>
    <t>Comissão por cliente novo (R$)</t>
  </si>
  <si>
    <t>Ano do mês 1 da operação</t>
  </si>
  <si>
    <t>Margem e ponto de equilíbrio</t>
  </si>
  <si>
    <t>Custo variável sobre o que o cliente paga</t>
  </si>
  <si>
    <t>Impostos sobre a taxa</t>
  </si>
  <si>
    <t>Margem de contribuição por kWh (ano de referência)</t>
  </si>
  <si>
    <t>Ponto de equilíbrio (kWh/mês)</t>
  </si>
  <si>
    <t>Ponto de equilíbrio (clientes)</t>
  </si>
  <si>
    <t>Ponto de equilíbrio (usinas de referência)</t>
  </si>
  <si>
    <t>Primeiro mês com resultado positivo</t>
  </si>
  <si>
    <t>Capital de giro necessário (pior saldo acumulado)</t>
  </si>
  <si>
    <t>A margem por kWh muda com o ano (transição do Fio B). Simplificação: clientes entram já pagando no mês.</t>
  </si>
  <si>
    <t>Mês</t>
  </si>
  <si>
    <t>Clientes</t>
  </si>
  <si>
    <t>kWh alocados</t>
  </si>
  <si>
    <t>Margem/kWh</t>
  </si>
  <si>
    <t>Margem − fixos</t>
  </si>
  <si>
    <t>Comissões</t>
  </si>
  <si>
    <t>Acumulado</t>
  </si>
  <si>
    <t>≥ 0?</t>
  </si>
  <si>
    <t>Funil e metas comerciais</t>
  </si>
  <si>
    <t>Conversões (exemplos ilustrativos — meça as suas)</t>
  </si>
  <si>
    <t>Lead → conta de luz recebida</t>
  </si>
  <si>
    <t>Conta → proposta apresentada</t>
  </si>
  <si>
    <t>Proposta → aceite</t>
  </si>
  <si>
    <t>Aceite → contrato e documentos</t>
  </si>
  <si>
    <t>Contrato → 1ª cobrança paga</t>
  </si>
  <si>
    <t>Conversão total lead → cliente pagante</t>
  </si>
  <si>
    <t>Meta</t>
  </si>
  <si>
    <t>Novos clientes pagantes por mês</t>
  </si>
  <si>
    <t>Leads necessários por mês</t>
  </si>
  <si>
    <t>Propostas a apresentar por mês</t>
  </si>
  <si>
    <t>Clientes que um consultor fecha por mês</t>
  </si>
  <si>
    <t>Consultores necessários</t>
  </si>
  <si>
    <t>Meses até o ponto de equilíbrio em clientes (sem churn)</t>
  </si>
  <si>
    <t>Plano de ocupação da usina e planilha de rateio</t>
  </si>
  <si>
    <t>Energia disponível da usina (kWh/mês)</t>
  </si>
  <si>
    <t>Cliente</t>
  </si>
  <si>
    <t>UC</t>
  </si>
  <si>
    <t>Consumo médio</t>
  </si>
  <si>
    <t>Cota (kWh)</t>
  </si>
  <si>
    <t>% rateio</t>
  </si>
  <si>
    <t>Padaria</t>
  </si>
  <si>
    <t>Clínica</t>
  </si>
  <si>
    <t>Academia</t>
  </si>
  <si>
    <t>Restaurante</t>
  </si>
  <si>
    <t>Farmácia</t>
  </si>
  <si>
    <t>Escola</t>
  </si>
  <si>
    <t>Mercado</t>
  </si>
  <si>
    <t>Pousada</t>
  </si>
  <si>
    <t>Escritório</t>
  </si>
  <si>
    <t>Residência 1</t>
  </si>
  <si>
    <t>Residência 2</t>
  </si>
  <si>
    <t>Residência 3</t>
  </si>
  <si>
    <t>Residência 4</t>
  </si>
  <si>
    <t>Residência 5</t>
  </si>
  <si>
    <t>Residência 6</t>
  </si>
  <si>
    <t>Total alocado (kWh)</t>
  </si>
  <si>
    <t>Ocupação da usina</t>
  </si>
  <si>
    <t>Maior participação de um cliente</t>
  </si>
  <si>
    <t>Saldo para vender (kWh)</t>
  </si>
  <si>
    <t>Ocupação entre 90% e 98%?</t>
  </si>
  <si>
    <t>Nenhum cliente com 25% ou mais?</t>
  </si>
  <si>
    <t>Com a lista de exemplo a usina fica em ~63%: acrescente clientes até chegar a 90–98% (exercício do M6 aula 6). Na plataforma, vínculo acima do saldo é recusado.</t>
  </si>
  <si>
    <t>Painel de indicadores — 12 indicadores, meta e semáforo (M10)</t>
  </si>
  <si>
    <t>Indicador</t>
  </si>
  <si>
    <t>Sentido</t>
  </si>
  <si>
    <t>1. Taxa de ocupação (alocada ÷ disponível)</t>
  </si>
  <si>
    <t>&gt;=</t>
  </si>
  <si>
    <t>2. Desempenho de geração (gerada ÷ esperada)</t>
  </si>
  <si>
    <t>3. Energia compensada ÷ alocada</t>
  </si>
  <si>
    <t>4. Novos clientes no mês</t>
  </si>
  <si>
    <t>5. Conversão proposta → cliente pagante</t>
  </si>
  <si>
    <t>6. CAC (R$ por cliente)</t>
  </si>
  <si>
    <t>&lt;=</t>
  </si>
  <si>
    <t>7. Receita da gestora (R$/mês)</t>
  </si>
  <si>
    <t>8. Taxa de recebimento (recebido ÷ faturado)</t>
  </si>
  <si>
    <t>9. Inadimplência &gt; 30 dias (% do faturado)</t>
  </si>
  <si>
    <t>10. Resultado do mês (R$)</t>
  </si>
  <si>
    <t>11. Churn mensal</t>
  </si>
  <si>
    <t>12. Economia média por cliente (R$/mês)</t>
  </si>
  <si>
    <t>Valores de exemplo — substitua pelos do seu laboratório ou da sua empresa. Metas são referências de gestão do curso.</t>
  </si>
  <si>
    <t>Comentário do mês (o que foi bem, o que foi mal, o que fazer):</t>
  </si>
  <si>
    <t>Escreva aqui…</t>
  </si>
</sst>
</file>

<file path=xl/styles.xml><?xml version="1.0" encoding="utf-8"?>
<styleSheet xmlns="http://schemas.openxmlformats.org/spreadsheetml/2006/main" xml:space="preserve">
  <numFmts count="9">
    <numFmt numFmtId="164" formatCode="&quot;R$&quot; #,##0.0000;(&quot;R$&quot; #,##0.0000);&quot;-&quot;"/>
    <numFmt numFmtId="165" formatCode="0.0%;(0.0%);&quot;-&quot;"/>
    <numFmt numFmtId="166" formatCode="#,##0;(#,##0);&quot;-&quot;"/>
    <numFmt numFmtId="167" formatCode="#,##0&quot; kWh&quot;;(#,##0&quot; kWh&quot;);&quot;-&quot;"/>
    <numFmt numFmtId="168" formatCode="0.00%;(0.00%);&quot;-&quot;"/>
    <numFmt numFmtId="169" formatCode="&quot;R$&quot; #,##0.00;(&quot;R$&quot; #,##0.00);&quot;-&quot;"/>
    <numFmt numFmtId="170" formatCode="&quot;R$&quot; #,##0;(&quot;R$&quot; #,##0);&quot;-&quot;"/>
    <numFmt numFmtId="171" formatCode="0.0&quot; anos&quot;"/>
    <numFmt numFmtId="172" formatCode="0.0"/>
  </numFmts>
  <fonts count="7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FFFFFF"/>
      <name val="Arial"/>
    </font>
    <font>
      <b val="1"/>
      <i val="0"/>
      <strike val="0"/>
      <u val="none"/>
      <sz val="11"/>
      <color rgb="FF1F4E3D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008000"/>
      <name val="Arial"/>
    </font>
    <font>
      <b val="1"/>
      <i val="0"/>
      <strike val="0"/>
      <u val="none"/>
      <sz val="10"/>
      <color rgb="FF000000"/>
      <name val="Arial"/>
    </font>
    <font>
      <b val="0"/>
      <i val="1"/>
      <strike val="0"/>
      <u val="none"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0000"/>
      </patternFill>
    </fill>
    <fill>
      <patternFill patternType="solid">
        <fgColor rgb="FFFFF2A8"/>
        <bgColor rgb="FF000000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0" borderId="1" applyFont="1" applyNumberFormat="0" applyFill="0" applyBorder="1" applyAlignment="0"/>
    <xf xfId="0" fontId="2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3" numFmtId="164" fillId="3" borderId="1" applyFont="1" applyNumberFormat="1" applyFill="1" applyBorder="1" applyAlignment="0"/>
    <xf xfId="0" fontId="0" numFmtId="164" fillId="0" borderId="1" applyFont="0" applyNumberFormat="1" applyFill="0" applyBorder="1" applyAlignment="0"/>
    <xf xfId="0" fontId="3" numFmtId="165" fillId="3" borderId="1" applyFont="1" applyNumberFormat="1" applyFill="1" applyBorder="1" applyAlignment="0"/>
    <xf xfId="0" fontId="3" numFmtId="166" fillId="3" borderId="1" applyFont="1" applyNumberFormat="1" applyFill="1" applyBorder="1" applyAlignment="0"/>
    <xf xfId="0" fontId="0" numFmtId="165" fillId="0" borderId="1" applyFont="0" applyNumberFormat="1" applyFill="0" applyBorder="1" applyAlignment="0"/>
    <xf xfId="0" fontId="5" numFmtId="0" fillId="0" borderId="2" applyFont="1" applyNumberFormat="0" applyFill="0" applyBorder="1" applyAlignment="0"/>
    <xf xfId="0" fontId="6" numFmtId="0" fillId="0" borderId="0" applyFont="1" applyNumberFormat="0" applyFill="0" applyBorder="0" applyAlignment="0"/>
    <xf xfId="0" fontId="0" numFmtId="167" fillId="0" borderId="1" applyFont="0" applyNumberFormat="1" applyFill="0" applyBorder="1" applyAlignment="0"/>
    <xf xfId="0" fontId="4" numFmtId="164" fillId="0" borderId="1" applyFont="1" applyNumberFormat="1" applyFill="0" applyBorder="1" applyAlignment="0"/>
    <xf xfId="0" fontId="4" numFmtId="165" fillId="0" borderId="1" applyFont="1" applyNumberFormat="1" applyFill="0" applyBorder="1" applyAlignment="0"/>
    <xf xfId="0" fontId="4" numFmtId="167" fillId="0" borderId="1" applyFont="1" applyNumberFormat="1" applyFill="0" applyBorder="1" applyAlignment="0"/>
    <xf xfId="0" fontId="0" numFmtId="168" fillId="0" borderId="1" applyFont="0" applyNumberFormat="1" applyFill="0" applyBorder="1" applyAlignment="0"/>
    <xf xfId="0" fontId="0" numFmtId="169" fillId="0" borderId="1" applyFont="0" applyNumberFormat="1" applyFill="0" applyBorder="1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169" fillId="0" borderId="1" applyFont="1" applyNumberFormat="1" applyFill="0" applyBorder="1" applyAlignment="0"/>
    <xf xfId="0" fontId="5" numFmtId="164" fillId="0" borderId="1" applyFont="1" applyNumberFormat="1" applyFill="0" applyBorder="1" applyAlignment="0"/>
    <xf xfId="0" fontId="3" numFmtId="169" fillId="3" borderId="1" applyFont="1" applyNumberFormat="1" applyFill="1" applyBorder="1" applyAlignment="0"/>
    <xf xfId="0" fontId="0" numFmtId="170" fillId="0" borderId="1" applyFont="0" applyNumberFormat="1" applyFill="0" applyBorder="1" applyAlignment="0"/>
    <xf xfId="0" fontId="3" numFmtId="170" fillId="3" borderId="1" applyFont="1" applyNumberFormat="1" applyFill="1" applyBorder="1" applyAlignment="0"/>
    <xf xfId="0" fontId="0" numFmtId="171" fillId="0" borderId="1" applyFont="0" applyNumberFormat="1" applyFill="0" applyBorder="1" applyAlignment="0"/>
    <xf xfId="0" fontId="5" numFmtId="170" fillId="0" borderId="1" applyFont="1" applyNumberFormat="1" applyFill="0" applyBorder="1" applyAlignment="0"/>
    <xf xfId="0" fontId="5" numFmtId="167" fillId="0" borderId="1" applyFont="1" applyNumberFormat="1" applyFill="0" applyBorder="1" applyAlignment="0"/>
    <xf xfId="0" fontId="0" numFmtId="166" fillId="0" borderId="1" applyFont="0" applyNumberFormat="1" applyFill="0" applyBorder="1" applyAlignment="0"/>
    <xf xfId="0" fontId="0" numFmtId="172" fillId="0" borderId="1" applyFont="0" applyNumberFormat="1" applyFill="0" applyBorder="1" applyAlignment="0"/>
    <xf xfId="0" fontId="5" numFmtId="165" fillId="0" borderId="1" applyFont="1" applyNumberFormat="1" applyFill="0" applyBorder="1" applyAlignment="0"/>
    <xf xfId="0" fontId="4" numFmtId="166" fillId="0" borderId="1" applyFont="1" applyNumberFormat="1" applyFill="0" applyBorder="1" applyAlignment="0"/>
    <xf xfId="0" fontId="5" numFmtId="166" fillId="0" borderId="1" applyFont="1" applyNumberFormat="1" applyFill="0" applyBorder="1" applyAlignment="0"/>
    <xf xfId="0" fontId="3" numFmtId="49" fillId="3" borderId="1" applyFont="1" applyNumberFormat="1" applyFill="1" applyBorder="1" applyAlignment="0"/>
    <xf xfId="0" fontId="3" numFmtId="0" fillId="3" borderId="1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4">
    <dxf>
      <font>
        <b val="1"/>
        <color rgb="FF008000"/>
      </font>
      <border/>
    </dxf>
    <dxf>
      <font>
        <b val="1"/>
        <color rgb="FFC00000"/>
      </font>
      <border/>
    </dxf>
    <dxf>
      <fill>
        <patternFill patternType="solid">
          <bgColor rgb="FFC6EFCE"/>
        </patternFill>
      </fill>
      <border/>
    </dxf>
    <dxf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vmlDrawing2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_rels/vmlDrawing5.vml.rels><?xml version="1.0" encoding="UTF-8" standalone="yes"?>
<Relationships xmlns="http://schemas.openxmlformats.org/package/2006/relationships"/>
</file>

<file path=xl/drawings/_rels/vmlDrawing7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F4E3D"/>
    <outlinePr summaryBelow="1" summaryRight="1"/>
  </sheetPr>
  <dimension ref="A1:H23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8" customHeight="1" ht="26">
      <c r="A1" s="1" t="s">
        <v>0</v>
      </c>
      <c r="B1" s="2"/>
      <c r="C1" s="2"/>
      <c r="D1" s="2"/>
      <c r="E1" s="2"/>
      <c r="F1" s="2"/>
      <c r="G1" s="2"/>
      <c r="H1" s="2"/>
    </row>
    <row r="3" spans="1:8">
      <c r="A3" s="3" t="s">
        <v>1</v>
      </c>
    </row>
    <row r="4" spans="1:8">
      <c r="A4" t="s">
        <v>2</v>
      </c>
    </row>
    <row r="5" spans="1:8">
      <c r="A5" t="s">
        <v>3</v>
      </c>
    </row>
    <row r="6" spans="1:8">
      <c r="A6" t="s">
        <v>4</v>
      </c>
    </row>
    <row r="8" spans="1:8">
      <c r="A8" s="3" t="s">
        <v>5</v>
      </c>
    </row>
    <row r="9" spans="1:8">
      <c r="A9" t="s">
        <v>6</v>
      </c>
    </row>
    <row r="10" spans="1:8">
      <c r="A10" t="s">
        <v>7</v>
      </c>
    </row>
    <row r="11" spans="1:8">
      <c r="A11" t="s">
        <v>8</v>
      </c>
    </row>
    <row r="13" spans="1:8">
      <c r="A13" s="3" t="s">
        <v>9</v>
      </c>
    </row>
    <row r="14" spans="1:8">
      <c r="A14" t="s">
        <v>10</v>
      </c>
    </row>
    <row r="15" spans="1:8">
      <c r="A15" t="s">
        <v>11</v>
      </c>
    </row>
    <row r="16" spans="1:8">
      <c r="A16" t="s">
        <v>12</v>
      </c>
    </row>
    <row r="17" spans="1:8">
      <c r="A17" t="s">
        <v>13</v>
      </c>
    </row>
    <row r="18" spans="1:8">
      <c r="A18" t="s">
        <v>14</v>
      </c>
    </row>
    <row r="20" spans="1:8">
      <c r="A20" s="3" t="s">
        <v>15</v>
      </c>
    </row>
    <row r="21" spans="1:8">
      <c r="A21" s="4" t="s">
        <v>16</v>
      </c>
    </row>
    <row r="22" spans="1:8">
      <c r="A22" s="5" t="s">
        <v>17</v>
      </c>
    </row>
    <row r="23" spans="1:8">
      <c r="A23" s="6" t="s">
        <v>18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F4E3D"/>
    <outlinePr summaryBelow="1" summaryRight="1"/>
  </sheetPr>
  <dimension ref="A1:H31"/>
  <sheetViews>
    <sheetView tabSelected="0" workbookViewId="0" showGridLines="false" showRowColHeaders="1">
      <selection activeCell="B31" sqref="B31"/>
    </sheetView>
  </sheetViews>
  <sheetFormatPr defaultRowHeight="14.4" outlineLevelRow="0" outlineLevelCol="0"/>
  <cols>
    <col min="1" max="1" width="64" customWidth="true" style="0"/>
    <col min="2" max="2" width="18" customWidth="true" style="0"/>
    <col min="3" max="3" width="70" customWidth="true" style="0"/>
  </cols>
  <sheetData>
    <row r="1" spans="1:8" customHeight="1" ht="26">
      <c r="A1" s="1" t="s">
        <v>19</v>
      </c>
      <c r="B1" s="2"/>
      <c r="C1" s="2"/>
      <c r="D1" s="2"/>
      <c r="E1" s="2"/>
      <c r="F1" s="2"/>
      <c r="G1" s="2"/>
      <c r="H1" s="2"/>
    </row>
    <row r="3" spans="1:8">
      <c r="A3" s="7" t="s">
        <v>20</v>
      </c>
      <c r="B3" s="8"/>
      <c r="C3" s="8"/>
      <c r="D3" s="8"/>
      <c r="E3" s="8"/>
      <c r="F3" s="8"/>
      <c r="G3" s="8"/>
      <c r="H3" s="8"/>
    </row>
    <row r="4" spans="1:8">
      <c r="A4" s="9" t="s">
        <v>21</v>
      </c>
      <c r="B4" s="10">
        <v>0.35</v>
      </c>
    </row>
    <row r="5" spans="1:8">
      <c r="A5" s="9" t="s">
        <v>22</v>
      </c>
      <c r="B5" s="10">
        <v>0.45</v>
      </c>
    </row>
    <row r="6" spans="1:8">
      <c r="A6" s="9" t="s">
        <v>23</v>
      </c>
      <c r="B6" s="10">
        <v>0.2</v>
      </c>
    </row>
    <row r="7" spans="1:8">
      <c r="A7" s="9" t="s">
        <v>24</v>
      </c>
      <c r="B7" s="11">
        <f>B4+B5</f>
        <v>0.8</v>
      </c>
    </row>
    <row r="9" spans="1:8">
      <c r="A9" s="7" t="s">
        <v>25</v>
      </c>
      <c r="B9" s="8"/>
      <c r="C9" s="8"/>
      <c r="D9" s="8"/>
      <c r="E9" s="8"/>
      <c r="F9" s="8"/>
      <c r="G9" s="8"/>
      <c r="H9" s="8"/>
    </row>
    <row r="10" spans="1:8">
      <c r="A10" s="9" t="s">
        <v>26</v>
      </c>
      <c r="B10" s="12">
        <v>0.18</v>
      </c>
    </row>
    <row r="11" spans="1:8">
      <c r="A11" s="9" t="s">
        <v>27</v>
      </c>
      <c r="B11" s="12">
        <v>0.05</v>
      </c>
    </row>
    <row r="12" spans="1:8">
      <c r="A12" s="9" t="s">
        <v>28</v>
      </c>
      <c r="B12" s="11">
        <f>IFERROR(B7/(1-(B10+B11)),0)</f>
        <v>1.038961038961</v>
      </c>
    </row>
    <row r="13" spans="1:8">
      <c r="A13" s="9" t="s">
        <v>29</v>
      </c>
      <c r="B13" s="13">
        <v>1</v>
      </c>
    </row>
    <row r="14" spans="1:8">
      <c r="A14" s="9" t="s">
        <v>30</v>
      </c>
      <c r="B14" s="14">
        <f>(B10+B11)*B13</f>
        <v>0.23</v>
      </c>
    </row>
    <row r="16" spans="1:8">
      <c r="A16" s="7" t="s">
        <v>31</v>
      </c>
      <c r="B16" s="8"/>
      <c r="C16" s="8"/>
      <c r="D16" s="8"/>
      <c r="E16" s="8"/>
      <c r="F16" s="8"/>
      <c r="G16" s="8"/>
      <c r="H16" s="8"/>
    </row>
    <row r="17" spans="1:8">
      <c r="A17" s="15" t="s">
        <v>32</v>
      </c>
      <c r="B17" s="15" t="s">
        <v>33</v>
      </c>
    </row>
    <row r="18" spans="1:8">
      <c r="A18" s="9">
        <v>2026</v>
      </c>
      <c r="B18" s="12">
        <v>0.6</v>
      </c>
    </row>
    <row r="19" spans="1:8">
      <c r="A19" s="9">
        <v>2027</v>
      </c>
      <c r="B19" s="12">
        <v>0.75</v>
      </c>
    </row>
    <row r="20" spans="1:8">
      <c r="A20" s="9">
        <v>2028</v>
      </c>
      <c r="B20" s="12">
        <v>0.9</v>
      </c>
    </row>
    <row r="21" spans="1:8">
      <c r="A21" s="9" t="s">
        <v>34</v>
      </c>
      <c r="B21" s="12">
        <v>1.0</v>
      </c>
      <c r="C21" s="16" t="s">
        <v>35</v>
      </c>
    </row>
    <row r="23" spans="1:8">
      <c r="A23" s="7" t="s">
        <v>36</v>
      </c>
      <c r="B23" s="8"/>
      <c r="C23" s="8"/>
      <c r="D23" s="8"/>
      <c r="E23" s="8"/>
      <c r="F23" s="8"/>
      <c r="G23" s="8"/>
      <c r="H23" s="8"/>
    </row>
    <row r="24" spans="1:8">
      <c r="A24" s="9" t="s">
        <v>37</v>
      </c>
      <c r="B24" s="12">
        <v>0.2</v>
      </c>
    </row>
    <row r="25" spans="1:8">
      <c r="A25" s="9" t="s">
        <v>38</v>
      </c>
      <c r="B25" s="12">
        <v>0.15</v>
      </c>
    </row>
    <row r="26" spans="1:8">
      <c r="A26" s="9" t="s">
        <v>39</v>
      </c>
      <c r="B26" s="4">
        <v>2026</v>
      </c>
    </row>
    <row r="28" spans="1:8">
      <c r="A28" s="7" t="s">
        <v>40</v>
      </c>
      <c r="B28" s="8"/>
      <c r="C28" s="8"/>
      <c r="D28" s="8"/>
      <c r="E28" s="8"/>
      <c r="F28" s="8"/>
      <c r="G28" s="8"/>
      <c r="H28" s="8"/>
    </row>
    <row r="29" spans="1:8">
      <c r="A29" s="9" t="s">
        <v>41</v>
      </c>
      <c r="B29" s="13">
        <v>500</v>
      </c>
    </row>
    <row r="30" spans="1:8">
      <c r="A30" s="9" t="s">
        <v>42</v>
      </c>
      <c r="B30" s="13">
        <v>120</v>
      </c>
    </row>
    <row r="31" spans="1:8">
      <c r="A31" s="9" t="s">
        <v>43</v>
      </c>
      <c r="B31" s="17">
        <f>B29*B30</f>
        <v>60000</v>
      </c>
    </row>
  </sheetData>
  <mergeCells>
    <mergeCell ref="A1:H1"/>
  </mergeCells>
  <dataValidations count="2">
    <dataValidation type="list" errorStyle="stop" operator="between" allowBlank="0" showDropDown="0" showInputMessage="0" showErrorMessage="1" sqref="B26">
      <formula1>"2026,2027,2028,2029"</formula1>
    </dataValidation>
    <dataValidation type="list" errorStyle="stop" operator="between" allowBlank="0" showDropDown="0" showInputMessage="0" showErrorMessage="1" sqref="B13">
      <formula1>"0,1"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22"/>
  <sheetViews>
    <sheetView tabSelected="0" workbookViewId="0" showGridLines="false" showRowColHeaders="1">
      <selection activeCell="B20" sqref="B20"/>
    </sheetView>
  </sheetViews>
  <sheetFormatPr defaultRowHeight="14.4" outlineLevelRow="0" outlineLevelCol="0"/>
  <cols>
    <col min="1" max="1" width="34" customWidth="true" style="0"/>
    <col min="2" max="2" width="16" customWidth="true" style="0"/>
    <col min="3" max="3" width="18" customWidth="true" style="0"/>
    <col min="4" max="4" width="18" customWidth="true" style="0"/>
    <col min="5" max="5" width="18" customWidth="true" style="0"/>
    <col min="6" max="6" width="16" customWidth="true" style="0"/>
  </cols>
  <sheetData>
    <row r="1" spans="1:8" customHeight="1" ht="26">
      <c r="A1" s="1" t="s">
        <v>44</v>
      </c>
      <c r="B1" s="2"/>
      <c r="C1" s="2"/>
      <c r="D1" s="2"/>
      <c r="E1" s="2"/>
      <c r="F1" s="2"/>
      <c r="G1" s="2"/>
      <c r="H1" s="2"/>
    </row>
    <row r="3" spans="1:8">
      <c r="A3" s="7" t="s">
        <v>45</v>
      </c>
      <c r="B3" s="8"/>
      <c r="C3" s="8"/>
      <c r="D3" s="8"/>
      <c r="E3" s="8"/>
      <c r="F3" s="8"/>
      <c r="G3" s="8"/>
      <c r="H3" s="8"/>
    </row>
    <row r="4" spans="1:8">
      <c r="A4" s="9" t="s">
        <v>46</v>
      </c>
      <c r="B4" s="18">
        <f>Premissas!B7</f>
        <v>0.8</v>
      </c>
    </row>
    <row r="5" spans="1:8">
      <c r="A5" s="9" t="s">
        <v>47</v>
      </c>
      <c r="B5" s="18">
        <f>Premissas!B12</f>
        <v>1.038961038961</v>
      </c>
    </row>
    <row r="6" spans="1:8">
      <c r="A6" s="9" t="s">
        <v>48</v>
      </c>
      <c r="B6" s="18">
        <f>Premissas!B6</f>
        <v>0.2</v>
      </c>
    </row>
    <row r="8" spans="1:8">
      <c r="A8" s="7" t="s">
        <v>49</v>
      </c>
      <c r="B8" s="8"/>
      <c r="C8" s="8"/>
      <c r="D8" s="8"/>
      <c r="E8" s="8"/>
      <c r="F8" s="8"/>
      <c r="G8" s="8"/>
      <c r="H8" s="8"/>
    </row>
    <row r="9" spans="1:8">
      <c r="A9" s="15" t="s">
        <v>32</v>
      </c>
      <c r="B9" s="15" t="s">
        <v>50</v>
      </c>
      <c r="C9" s="15" t="s">
        <v>51</v>
      </c>
      <c r="D9" s="15" t="s">
        <v>52</v>
      </c>
      <c r="E9" s="15" t="s">
        <v>53</v>
      </c>
      <c r="F9" s="15" t="s">
        <v>54</v>
      </c>
    </row>
    <row r="10" spans="1:8">
      <c r="A10" s="6">
        <f>Premissas!A18</f>
        <v>2026</v>
      </c>
      <c r="B10" s="19">
        <f>Premissas!B18</f>
        <v>0.6</v>
      </c>
      <c r="C10" s="11">
        <f>B10*$B$6</f>
        <v>0.12</v>
      </c>
      <c r="D10" s="11">
        <f>$B$4-C10</f>
        <v>0.68</v>
      </c>
      <c r="E10" s="11">
        <f>IFERROR(D10/(1-Premissas!$B$14),0)</f>
        <v>0.88311688311688</v>
      </c>
      <c r="F10" s="14">
        <f>IFERROR(D10/$D$10-1,0)</f>
        <v>0</v>
      </c>
    </row>
    <row r="11" spans="1:8">
      <c r="A11" s="6">
        <f>Premissas!A19</f>
        <v>2027</v>
      </c>
      <c r="B11" s="19">
        <f>Premissas!B19</f>
        <v>0.75</v>
      </c>
      <c r="C11" s="11">
        <f>B11*$B$6</f>
        <v>0.15</v>
      </c>
      <c r="D11" s="11">
        <f>$B$4-C11</f>
        <v>0.65</v>
      </c>
      <c r="E11" s="11">
        <f>IFERROR(D11/(1-Premissas!$B$14),0)</f>
        <v>0.84415584415584</v>
      </c>
      <c r="F11" s="14">
        <f>IFERROR(D11/$D$10-1,0)</f>
        <v>-0.044117647058824</v>
      </c>
    </row>
    <row r="12" spans="1:8">
      <c r="A12" s="6">
        <f>Premissas!A20</f>
        <v>2028</v>
      </c>
      <c r="B12" s="19">
        <f>Premissas!B20</f>
        <v>0.9</v>
      </c>
      <c r="C12" s="11">
        <f>B12*$B$6</f>
        <v>0.18</v>
      </c>
      <c r="D12" s="11">
        <f>$B$4-C12</f>
        <v>0.62</v>
      </c>
      <c r="E12" s="11">
        <f>IFERROR(D12/(1-Premissas!$B$14),0)</f>
        <v>0.80519480519481</v>
      </c>
      <c r="F12" s="14">
        <f>IFERROR(D12/$D$10-1,0)</f>
        <v>-0.088235294117647</v>
      </c>
    </row>
    <row r="13" spans="1:8">
      <c r="A13" s="6" t="str">
        <f>Premissas!A21</f>
        <v>2029 (cenário)</v>
      </c>
      <c r="B13" s="19">
        <f>Premissas!B21</f>
        <v>1</v>
      </c>
      <c r="C13" s="11">
        <f>B13*$B$6</f>
        <v>0.2</v>
      </c>
      <c r="D13" s="11">
        <f>$B$4-C13</f>
        <v>0.6</v>
      </c>
      <c r="E13" s="11">
        <f>IFERROR(D13/(1-Premissas!$B$14),0)</f>
        <v>0.77922077922078</v>
      </c>
      <c r="F13" s="14">
        <f>IFERROR(D13/$D$10-1,0)</f>
        <v>-0.11764705882353</v>
      </c>
    </row>
    <row r="15" spans="1:8">
      <c r="A15" s="7" t="s">
        <v>55</v>
      </c>
      <c r="B15" s="8"/>
      <c r="C15" s="8"/>
      <c r="D15" s="8"/>
      <c r="E15" s="8"/>
      <c r="F15" s="8"/>
      <c r="G15" s="8"/>
      <c r="H15" s="8"/>
    </row>
    <row r="16" spans="1:8">
      <c r="A16" s="9" t="s">
        <v>56</v>
      </c>
      <c r="B16" s="6">
        <f>Premissas!B26</f>
        <v>2026</v>
      </c>
    </row>
    <row r="17" spans="1:8">
      <c r="A17" s="9" t="s">
        <v>57</v>
      </c>
      <c r="B17" s="5">
        <f>MAX(1,MIN(4,B16-2025))</f>
        <v>1</v>
      </c>
    </row>
    <row r="18" spans="1:8">
      <c r="A18" s="9" t="s">
        <v>58</v>
      </c>
      <c r="B18" s="11">
        <f>INDEX(D10:D13,B17)</f>
        <v>0.68</v>
      </c>
    </row>
    <row r="19" spans="1:8">
      <c r="A19" s="9" t="s">
        <v>59</v>
      </c>
      <c r="B19" s="11">
        <f>INDEX(E10:E13,B17)</f>
        <v>0.88311688311688</v>
      </c>
    </row>
    <row r="20" spans="1:8">
      <c r="A20" s="9" t="s">
        <v>60</v>
      </c>
      <c r="B20" s="11">
        <f>IFERROR(INDEX(C10:C13,B17)/(1-(Premissas!B10+Premissas!B11)),0)</f>
        <v>0.15584415584416</v>
      </c>
    </row>
    <row r="22" spans="1:8">
      <c r="A22" s="16" t="s">
        <v>61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35"/>
  <sheetViews>
    <sheetView tabSelected="0" workbookViewId="0" showGridLines="false" showRowColHeaders="1">
      <selection activeCell="B33" sqref="B33"/>
    </sheetView>
  </sheetViews>
  <sheetFormatPr defaultRowHeight="14.4" outlineLevelRow="0" outlineLevelCol="0"/>
  <cols>
    <col min="1" max="1" width="56" customWidth="true" style="0"/>
    <col min="2" max="2" width="18" customWidth="true" style="0"/>
    <col min="3" max="3" width="4" customWidth="true" style="0"/>
    <col min="4" max="4" width="18" customWidth="true" style="0"/>
    <col min="5" max="5" width="18" customWidth="true" style="0"/>
  </cols>
  <sheetData>
    <row r="1" spans="1:8" customHeight="1" ht="26">
      <c r="A1" s="1" t="s">
        <v>62</v>
      </c>
      <c r="B1" s="2"/>
      <c r="C1" s="2"/>
      <c r="D1" s="2"/>
      <c r="E1" s="2"/>
      <c r="F1" s="2"/>
      <c r="G1" s="2"/>
      <c r="H1" s="2"/>
    </row>
    <row r="3" spans="1:8">
      <c r="A3" s="7" t="s">
        <v>63</v>
      </c>
      <c r="B3" s="8"/>
      <c r="D3" s="15" t="s">
        <v>69</v>
      </c>
      <c r="E3" s="15" t="s">
        <v>70</v>
      </c>
    </row>
    <row r="4" spans="1:8">
      <c r="A4" s="9" t="s">
        <v>64</v>
      </c>
      <c r="B4" s="4" t="s">
        <v>65</v>
      </c>
      <c r="D4" s="9" t="s">
        <v>71</v>
      </c>
      <c r="E4" s="13">
        <v>4000</v>
      </c>
    </row>
    <row r="5" spans="1:8">
      <c r="A5" s="9" t="s">
        <v>66</v>
      </c>
      <c r="B5" s="4" t="s">
        <v>67</v>
      </c>
      <c r="D5" s="9" t="s">
        <v>72</v>
      </c>
      <c r="E5" s="13">
        <v>4000</v>
      </c>
    </row>
    <row r="6" spans="1:8">
      <c r="A6" s="9" t="s">
        <v>68</v>
      </c>
      <c r="B6" s="12">
        <v>0.95</v>
      </c>
      <c r="D6" s="9" t="s">
        <v>73</v>
      </c>
      <c r="E6" s="13">
        <v>4000</v>
      </c>
    </row>
    <row r="7" spans="1:8">
      <c r="D7" s="9" t="s">
        <v>74</v>
      </c>
      <c r="E7" s="13">
        <v>4000</v>
      </c>
    </row>
    <row r="8" spans="1:8">
      <c r="D8" s="9" t="s">
        <v>75</v>
      </c>
      <c r="E8" s="13">
        <v>4000</v>
      </c>
    </row>
    <row r="9" spans="1:8">
      <c r="D9" s="9" t="s">
        <v>76</v>
      </c>
      <c r="E9" s="13">
        <v>4000</v>
      </c>
    </row>
    <row r="10" spans="1:8">
      <c r="D10" s="9" t="s">
        <v>77</v>
      </c>
      <c r="E10" s="13">
        <v>4000</v>
      </c>
    </row>
    <row r="11" spans="1:8">
      <c r="D11" s="9" t="s">
        <v>78</v>
      </c>
      <c r="E11" s="13">
        <v>4000</v>
      </c>
    </row>
    <row r="12" spans="1:8">
      <c r="D12" s="9" t="s">
        <v>79</v>
      </c>
      <c r="E12" s="13">
        <v>4000</v>
      </c>
    </row>
    <row r="13" spans="1:8">
      <c r="D13" s="9" t="s">
        <v>80</v>
      </c>
      <c r="E13" s="13">
        <v>4000</v>
      </c>
    </row>
    <row r="14" spans="1:8">
      <c r="D14" s="9" t="s">
        <v>81</v>
      </c>
      <c r="E14" s="13">
        <v>4000</v>
      </c>
    </row>
    <row r="15" spans="1:8">
      <c r="D15" s="9" t="s">
        <v>82</v>
      </c>
      <c r="E15" s="13">
        <v>4000</v>
      </c>
    </row>
    <row r="16" spans="1:8">
      <c r="D16" s="16" t="s">
        <v>83</v>
      </c>
    </row>
    <row r="18" spans="1:8">
      <c r="A18" s="7" t="s">
        <v>84</v>
      </c>
      <c r="B18" s="8"/>
    </row>
    <row r="19" spans="1:8">
      <c r="A19" s="9" t="s">
        <v>89</v>
      </c>
      <c r="B19" s="17">
        <f>AVERAGE(E4:E15)</f>
        <v>4000</v>
      </c>
      <c r="D19" s="15" t="s">
        <v>85</v>
      </c>
      <c r="E19" s="15" t="s">
        <v>86</v>
      </c>
    </row>
    <row r="20" spans="1:8">
      <c r="A20" s="9" t="s">
        <v>90</v>
      </c>
      <c r="B20" s="17">
        <f>IFERROR(INDEX(E20:E22,MATCH(B5,D20:D22,0)),0)</f>
        <v>100</v>
      </c>
      <c r="D20" s="9" t="s">
        <v>87</v>
      </c>
      <c r="E20" s="13">
        <v>30</v>
      </c>
    </row>
    <row r="21" spans="1:8">
      <c r="A21" s="9" t="s">
        <v>91</v>
      </c>
      <c r="B21" s="17">
        <f>MAX(0,(B19-B20)*B6)</f>
        <v>3705</v>
      </c>
      <c r="D21" s="9" t="s">
        <v>88</v>
      </c>
      <c r="E21" s="13">
        <v>50</v>
      </c>
    </row>
    <row r="22" spans="1:8">
      <c r="A22" s="9" t="s">
        <v>92</v>
      </c>
      <c r="B22" s="20">
        <f>Premissas!B31</f>
        <v>60000</v>
      </c>
      <c r="D22" s="9" t="s">
        <v>67</v>
      </c>
      <c r="E22" s="13">
        <v>100</v>
      </c>
    </row>
    <row r="23" spans="1:8">
      <c r="A23" s="9" t="s">
        <v>93</v>
      </c>
      <c r="B23" s="21">
        <f>IFERROR(B21/B22,0)</f>
        <v>0.06175</v>
      </c>
    </row>
    <row r="25" spans="1:8">
      <c r="A25" s="7" t="s">
        <v>94</v>
      </c>
      <c r="B25" s="8"/>
    </row>
    <row r="26" spans="1:8">
      <c r="A26" s="9" t="s">
        <v>95</v>
      </c>
      <c r="B26" s="22">
        <f>B19*Premissas!B12</f>
        <v>4155.8441558442</v>
      </c>
    </row>
    <row r="27" spans="1:8">
      <c r="A27" s="9" t="s">
        <v>96</v>
      </c>
      <c r="B27" s="22">
        <f>MAX(B19-B21,B20)*Premissas!B12</f>
        <v>306.49350649351</v>
      </c>
    </row>
    <row r="28" spans="1:8">
      <c r="A28" s="9" t="s">
        <v>97</v>
      </c>
      <c r="B28" s="22">
        <f>B21*'Valor do crédito'!B20</f>
        <v>577.4025974026</v>
      </c>
    </row>
    <row r="29" spans="1:8">
      <c r="A29" s="9" t="s">
        <v>98</v>
      </c>
      <c r="B29" s="22">
        <f>B21*'Valor do crédito'!B19*(1-Premissas!B24)</f>
        <v>2617.5584415584</v>
      </c>
    </row>
    <row r="30" spans="1:8">
      <c r="A30" s="23" t="s">
        <v>99</v>
      </c>
      <c r="B30" s="24">
        <f>B27+B28+B29</f>
        <v>3501.4545454545</v>
      </c>
    </row>
    <row r="31" spans="1:8">
      <c r="A31" s="23" t="s">
        <v>100</v>
      </c>
      <c r="B31" s="24">
        <f>B26-B30</f>
        <v>654.38961038961</v>
      </c>
    </row>
    <row r="32" spans="1:8">
      <c r="A32" s="9" t="s">
        <v>101</v>
      </c>
      <c r="B32" s="22">
        <f>B31*12</f>
        <v>7852.6753246753</v>
      </c>
    </row>
    <row r="33" spans="1:8">
      <c r="A33" s="9" t="s">
        <v>102</v>
      </c>
      <c r="B33" s="14">
        <f>IFERROR(B31/B26,0)</f>
        <v>0.1574625</v>
      </c>
    </row>
    <row r="35" spans="1:8">
      <c r="A35" s="16" t="s">
        <v>103</v>
      </c>
    </row>
  </sheetData>
  <mergeCells>
    <mergeCell ref="A1:H1"/>
  </mergeCells>
  <dataValidations count="1">
    <dataValidation type="list" errorStyle="stop" operator="between" allowBlank="0" showDropDown="0" showInputMessage="0" showErrorMessage="1" sqref="B5">
      <formula1>"Monofásica,Bifásica,Trifásica"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36"/>
  <sheetViews>
    <sheetView tabSelected="0" workbookViewId="0" showGridLines="false" showRowColHeaders="1">
      <selection activeCell="B36" sqref="B36"/>
    </sheetView>
  </sheetViews>
  <sheetFormatPr defaultRowHeight="14.4" outlineLevelRow="0" outlineLevelCol="0"/>
  <cols>
    <col min="1" max="1" width="56" customWidth="true" style="0"/>
    <col min="2" max="2" width="18" customWidth="true" style="0"/>
  </cols>
  <sheetData>
    <row r="1" spans="1:8" customHeight="1" ht="26">
      <c r="A1" s="1" t="s">
        <v>104</v>
      </c>
      <c r="B1" s="2"/>
      <c r="C1" s="2"/>
      <c r="D1" s="2"/>
      <c r="E1" s="2"/>
      <c r="F1" s="2"/>
      <c r="G1" s="2"/>
      <c r="H1" s="2"/>
    </row>
    <row r="3" spans="1:8">
      <c r="A3" s="7" t="s">
        <v>105</v>
      </c>
      <c r="B3" s="8"/>
    </row>
    <row r="4" spans="1:8">
      <c r="A4" s="9" t="s">
        <v>106</v>
      </c>
      <c r="B4" s="18">
        <f>'Valor do crédito'!B18</f>
        <v>0.68</v>
      </c>
    </row>
    <row r="5" spans="1:8">
      <c r="A5" s="9" t="s">
        <v>107</v>
      </c>
      <c r="B5" s="19">
        <f>Premissas!B24</f>
        <v>0.2</v>
      </c>
    </row>
    <row r="6" spans="1:8">
      <c r="A6" s="9" t="s">
        <v>108</v>
      </c>
      <c r="B6" s="19">
        <f>Premissas!B25</f>
        <v>0.15</v>
      </c>
    </row>
    <row r="7" spans="1:8">
      <c r="A7" s="9" t="s">
        <v>109</v>
      </c>
      <c r="B7" s="11">
        <f>B4*(1-B5)</f>
        <v>0.544</v>
      </c>
    </row>
    <row r="8" spans="1:8">
      <c r="A8" s="9" t="s">
        <v>110</v>
      </c>
      <c r="B8" s="11">
        <f>B4*B5</f>
        <v>0.136</v>
      </c>
    </row>
    <row r="9" spans="1:8">
      <c r="A9" s="9" t="s">
        <v>111</v>
      </c>
      <c r="B9" s="11">
        <f>B4*B6</f>
        <v>0.102</v>
      </c>
    </row>
    <row r="10" spans="1:8">
      <c r="A10" s="9" t="s">
        <v>112</v>
      </c>
      <c r="B10" s="11">
        <f>B4-B8-B9</f>
        <v>0.442</v>
      </c>
    </row>
    <row r="12" spans="1:8">
      <c r="A12" s="7" t="s">
        <v>113</v>
      </c>
      <c r="B12" s="8"/>
    </row>
    <row r="13" spans="1:8">
      <c r="A13" s="9" t="s">
        <v>114</v>
      </c>
      <c r="B13" s="20">
        <f>Premissas!B31</f>
        <v>60000</v>
      </c>
    </row>
    <row r="14" spans="1:8">
      <c r="A14" s="9" t="s">
        <v>115</v>
      </c>
      <c r="B14" s="22">
        <f>B13*B7</f>
        <v>32640</v>
      </c>
    </row>
    <row r="15" spans="1:8">
      <c r="A15" s="9" t="s">
        <v>116</v>
      </c>
      <c r="B15" s="22">
        <f>B13*B8</f>
        <v>8160</v>
      </c>
    </row>
    <row r="16" spans="1:8">
      <c r="A16" s="9" t="s">
        <v>117</v>
      </c>
      <c r="B16" s="22">
        <f>B13*B9</f>
        <v>6120</v>
      </c>
    </row>
    <row r="17" spans="1:8">
      <c r="A17" s="9" t="s">
        <v>118</v>
      </c>
      <c r="B17" s="22">
        <f>B13*B10</f>
        <v>26520</v>
      </c>
    </row>
    <row r="19" spans="1:8">
      <c r="A19" s="7" t="s">
        <v>119</v>
      </c>
      <c r="B19" s="8"/>
    </row>
    <row r="20" spans="1:8">
      <c r="A20" s="9" t="s">
        <v>120</v>
      </c>
      <c r="B20" s="12">
        <v>0.015</v>
      </c>
    </row>
    <row r="21" spans="1:8">
      <c r="A21" s="9" t="s">
        <v>121</v>
      </c>
      <c r="B21" s="12">
        <v>0.03</v>
      </c>
    </row>
    <row r="22" spans="1:8">
      <c r="A22" s="9" t="s">
        <v>122</v>
      </c>
      <c r="B22" s="12">
        <v>0.1</v>
      </c>
    </row>
    <row r="23" spans="1:8">
      <c r="A23" s="9" t="s">
        <v>123</v>
      </c>
      <c r="B23" s="22">
        <f>B14*B20</f>
        <v>489.6</v>
      </c>
    </row>
    <row r="24" spans="1:8">
      <c r="A24" s="9" t="s">
        <v>124</v>
      </c>
      <c r="B24" s="22">
        <f>B14*B21</f>
        <v>979.2</v>
      </c>
    </row>
    <row r="25" spans="1:8">
      <c r="A25" s="9" t="s">
        <v>125</v>
      </c>
      <c r="B25" s="22">
        <f>B16*B22</f>
        <v>612</v>
      </c>
    </row>
    <row r="26" spans="1:8">
      <c r="A26" s="23" t="s">
        <v>126</v>
      </c>
      <c r="B26" s="24">
        <f>B16-B23-B24-B25</f>
        <v>4039.2</v>
      </c>
    </row>
    <row r="27" spans="1:8">
      <c r="A27" s="23" t="s">
        <v>127</v>
      </c>
      <c r="B27" s="25">
        <f>IFERROR(B26/B13,0)</f>
        <v>0.06732</v>
      </c>
    </row>
    <row r="29" spans="1:8">
      <c r="A29" s="7" t="s">
        <v>128</v>
      </c>
      <c r="B29" s="8"/>
    </row>
    <row r="30" spans="1:8">
      <c r="A30" s="9" t="s">
        <v>129</v>
      </c>
      <c r="B30" s="26">
        <v>3.5</v>
      </c>
    </row>
    <row r="31" spans="1:8">
      <c r="A31" s="9" t="s">
        <v>130</v>
      </c>
      <c r="B31" s="27">
        <f>Premissas!B29*1000*B30</f>
        <v>1750000</v>
      </c>
    </row>
    <row r="32" spans="1:8">
      <c r="A32" s="9" t="s">
        <v>131</v>
      </c>
      <c r="B32" s="28">
        <v>25000</v>
      </c>
    </row>
    <row r="33" spans="1:8">
      <c r="A33" s="9" t="s">
        <v>132</v>
      </c>
      <c r="B33" s="27">
        <f>B17*12</f>
        <v>318240</v>
      </c>
    </row>
    <row r="34" spans="1:8">
      <c r="A34" s="9" t="s">
        <v>133</v>
      </c>
      <c r="B34" s="27">
        <f>B33-B32</f>
        <v>293240</v>
      </c>
    </row>
    <row r="35" spans="1:8">
      <c r="A35" s="9" t="s">
        <v>134</v>
      </c>
      <c r="B35" s="29">
        <f>IFERROR(B31/B34,0)</f>
        <v>5.9678079388896</v>
      </c>
    </row>
    <row r="36" spans="1:8">
      <c r="A36" s="9" t="s">
        <v>135</v>
      </c>
      <c r="B36" s="14">
        <f>IFERROR(B34/B31,0)</f>
        <v>0.16756571428571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25"/>
  <sheetViews>
    <sheetView tabSelected="0" workbookViewId="0" showGridLines="false" showRowColHeaders="1">
      <selection activeCell="E23" sqref="E23"/>
    </sheetView>
  </sheetViews>
  <sheetFormatPr defaultRowHeight="14.4" outlineLevelRow="0" outlineLevelCol="0"/>
  <cols>
    <col min="1" max="1" width="30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</cols>
  <sheetData>
    <row r="1" spans="1:8" customHeight="1" ht="26">
      <c r="A1" s="1" t="s">
        <v>136</v>
      </c>
      <c r="B1" s="2"/>
      <c r="C1" s="2"/>
      <c r="D1" s="2"/>
      <c r="E1" s="2"/>
      <c r="F1" s="2"/>
      <c r="G1" s="2"/>
      <c r="H1" s="2"/>
    </row>
    <row r="3" spans="1:8">
      <c r="A3" s="7" t="s">
        <v>137</v>
      </c>
      <c r="B3" s="8"/>
      <c r="C3" s="8"/>
      <c r="D3" s="8"/>
      <c r="E3" s="8"/>
    </row>
    <row r="4" spans="1:8">
      <c r="A4" s="15" t="s">
        <v>32</v>
      </c>
      <c r="B4" s="15" t="s">
        <v>138</v>
      </c>
      <c r="C4" s="15" t="s">
        <v>139</v>
      </c>
      <c r="D4" s="15" t="s">
        <v>140</v>
      </c>
      <c r="E4" s="15" t="s">
        <v>141</v>
      </c>
    </row>
    <row r="5" spans="1:8">
      <c r="A5" s="6">
        <f>'Valor do crédito'!A10</f>
        <v>2026</v>
      </c>
      <c r="B5" s="18">
        <f>'Valor do crédito'!D10</f>
        <v>0.68</v>
      </c>
      <c r="C5" s="11">
        <f>B5*Premissas!$B$24</f>
        <v>0.136</v>
      </c>
      <c r="D5" s="11">
        <f>B5*Premissas!$B$25</f>
        <v>0.102</v>
      </c>
      <c r="E5" s="11">
        <f>B5-C5-D5</f>
        <v>0.442</v>
      </c>
    </row>
    <row r="6" spans="1:8">
      <c r="A6" s="6">
        <f>'Valor do crédito'!A11</f>
        <v>2027</v>
      </c>
      <c r="B6" s="18">
        <f>'Valor do crédito'!D11</f>
        <v>0.65</v>
      </c>
      <c r="C6" s="11">
        <f>B6*Premissas!$B$24</f>
        <v>0.13</v>
      </c>
      <c r="D6" s="11">
        <f>B6*Premissas!$B$25</f>
        <v>0.0975</v>
      </c>
      <c r="E6" s="11">
        <f>B6-C6-D6</f>
        <v>0.4225</v>
      </c>
    </row>
    <row r="7" spans="1:8">
      <c r="A7" s="6">
        <f>'Valor do crédito'!A12</f>
        <v>2028</v>
      </c>
      <c r="B7" s="18">
        <f>'Valor do crédito'!D12</f>
        <v>0.62</v>
      </c>
      <c r="C7" s="11">
        <f>B7*Premissas!$B$24</f>
        <v>0.124</v>
      </c>
      <c r="D7" s="11">
        <f>B7*Premissas!$B$25</f>
        <v>0.093</v>
      </c>
      <c r="E7" s="11">
        <f>B7-C7-D7</f>
        <v>0.403</v>
      </c>
    </row>
    <row r="8" spans="1:8">
      <c r="A8" s="6" t="str">
        <f>'Valor do crédito'!A13</f>
        <v>2029 (cenário)</v>
      </c>
      <c r="B8" s="18">
        <f>'Valor do crédito'!D13</f>
        <v>0.6</v>
      </c>
      <c r="C8" s="11">
        <f>B8*Premissas!$B$24</f>
        <v>0.12</v>
      </c>
      <c r="D8" s="11">
        <f>B8*Premissas!$B$25</f>
        <v>0.09</v>
      </c>
      <c r="E8" s="11">
        <f>B8-C8-D8</f>
        <v>0.39</v>
      </c>
    </row>
    <row r="10" spans="1:8">
      <c r="A10" s="7" t="s">
        <v>142</v>
      </c>
      <c r="B10" s="8"/>
      <c r="C10" s="8"/>
      <c r="D10" s="8"/>
      <c r="E10" s="8"/>
    </row>
    <row r="11" spans="1:8">
      <c r="A11" s="9" t="s">
        <v>143</v>
      </c>
      <c r="B11" s="11">
        <f>B5*(1-Premissas!B24)</f>
        <v>0.544</v>
      </c>
      <c r="C11" s="16" t="s">
        <v>144</v>
      </c>
    </row>
    <row r="12" spans="1:8">
      <c r="A12" s="15" t="s">
        <v>32</v>
      </c>
      <c r="B12" s="15" t="s">
        <v>138</v>
      </c>
      <c r="C12" s="15" t="s">
        <v>139</v>
      </c>
      <c r="D12" s="15" t="s">
        <v>140</v>
      </c>
      <c r="E12" s="15" t="s">
        <v>141</v>
      </c>
    </row>
    <row r="13" spans="1:8">
      <c r="A13" s="5">
        <f>A5</f>
        <v>2026</v>
      </c>
      <c r="B13" s="11">
        <f>B5</f>
        <v>0.68</v>
      </c>
      <c r="C13" s="11">
        <f>B13-$B$11</f>
        <v>0.136</v>
      </c>
      <c r="D13" s="11">
        <f>B13*Premissas!$B$25</f>
        <v>0.102</v>
      </c>
      <c r="E13" s="11">
        <f>$B$11-D13</f>
        <v>0.442</v>
      </c>
    </row>
    <row r="14" spans="1:8">
      <c r="A14" s="5">
        <f>A6</f>
        <v>2027</v>
      </c>
      <c r="B14" s="11">
        <f>B6</f>
        <v>0.65</v>
      </c>
      <c r="C14" s="11">
        <f>B14-$B$11</f>
        <v>0.106</v>
      </c>
      <c r="D14" s="11">
        <f>B14*Premissas!$B$25</f>
        <v>0.0975</v>
      </c>
      <c r="E14" s="11">
        <f>$B$11-D14</f>
        <v>0.4465</v>
      </c>
    </row>
    <row r="15" spans="1:8">
      <c r="A15" s="5">
        <f>A7</f>
        <v>2028</v>
      </c>
      <c r="B15" s="11">
        <f>B7</f>
        <v>0.62</v>
      </c>
      <c r="C15" s="11">
        <f>B15-$B$11</f>
        <v>0.076</v>
      </c>
      <c r="D15" s="11">
        <f>B15*Premissas!$B$25</f>
        <v>0.093</v>
      </c>
      <c r="E15" s="11">
        <f>$B$11-D15</f>
        <v>0.451</v>
      </c>
    </row>
    <row r="16" spans="1:8">
      <c r="A16" s="5" t="str">
        <f>A8</f>
        <v>2029 (cenário)</v>
      </c>
      <c r="B16" s="11">
        <f>B8</f>
        <v>0.6</v>
      </c>
      <c r="C16" s="11">
        <f>B16-$B$11</f>
        <v>0.056</v>
      </c>
      <c r="D16" s="11">
        <f>B16*Premissas!$B$25</f>
        <v>0.09</v>
      </c>
      <c r="E16" s="11">
        <f>$B$11-D16</f>
        <v>0.454</v>
      </c>
    </row>
    <row r="18" spans="1:8">
      <c r="A18" s="7" t="s">
        <v>145</v>
      </c>
      <c r="B18" s="8"/>
      <c r="C18" s="8"/>
      <c r="D18" s="8"/>
      <c r="E18" s="8"/>
    </row>
    <row r="19" spans="1:8">
      <c r="A19" s="15" t="s">
        <v>32</v>
      </c>
      <c r="B19" s="15" t="s">
        <v>146</v>
      </c>
      <c r="C19" s="15" t="s">
        <v>147</v>
      </c>
      <c r="D19" s="15" t="s">
        <v>148</v>
      </c>
      <c r="E19" s="15" t="s">
        <v>149</v>
      </c>
    </row>
    <row r="20" spans="1:8">
      <c r="A20" s="5">
        <f>A5</f>
        <v>2026</v>
      </c>
      <c r="B20" s="11">
        <f>C5</f>
        <v>0.136</v>
      </c>
      <c r="C20" s="14">
        <f>IFERROR(B20/$B$20-1,0)</f>
        <v>0</v>
      </c>
      <c r="D20" s="11">
        <f>C13</f>
        <v>0.136</v>
      </c>
      <c r="E20" s="14">
        <f>IFERROR(D20/$D$20-1,0)</f>
        <v>0</v>
      </c>
    </row>
    <row r="21" spans="1:8">
      <c r="A21" s="5">
        <f>A6</f>
        <v>2027</v>
      </c>
      <c r="B21" s="11">
        <f>C6</f>
        <v>0.13</v>
      </c>
      <c r="C21" s="14">
        <f>IFERROR(B21/$B$20-1,0)</f>
        <v>-0.044117647058824</v>
      </c>
      <c r="D21" s="11">
        <f>C14</f>
        <v>0.106</v>
      </c>
      <c r="E21" s="14">
        <f>IFERROR(D21/$D$20-1,0)</f>
        <v>-0.22058823529412</v>
      </c>
    </row>
    <row r="22" spans="1:8">
      <c r="A22" s="5">
        <f>A7</f>
        <v>2028</v>
      </c>
      <c r="B22" s="11">
        <f>C7</f>
        <v>0.124</v>
      </c>
      <c r="C22" s="14">
        <f>IFERROR(B22/$B$20-1,0)</f>
        <v>-0.088235294117647</v>
      </c>
      <c r="D22" s="11">
        <f>C15</f>
        <v>0.076</v>
      </c>
      <c r="E22" s="14">
        <f>IFERROR(D22/$D$20-1,0)</f>
        <v>-0.44117647058824</v>
      </c>
    </row>
    <row r="23" spans="1:8">
      <c r="A23" s="5" t="str">
        <f>A8</f>
        <v>2029 (cenário)</v>
      </c>
      <c r="B23" s="11">
        <f>C8</f>
        <v>0.12</v>
      </c>
      <c r="C23" s="14">
        <f>IFERROR(B23/$B$20-1,0)</f>
        <v>-0.11764705882353</v>
      </c>
      <c r="D23" s="11">
        <f>C16</f>
        <v>0.056</v>
      </c>
      <c r="E23" s="14">
        <f>IFERROR(D23/$D$20-1,0)</f>
        <v>-0.58823529411765</v>
      </c>
    </row>
    <row r="25" spans="1:8">
      <c r="A25" s="16" t="s">
        <v>150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L67"/>
  <sheetViews>
    <sheetView tabSelected="0" workbookViewId="0" showGridLines="false" showRowColHeaders="1">
      <selection activeCell="L67" sqref="L67"/>
    </sheetView>
  </sheetViews>
  <sheetFormatPr defaultRowHeight="14.4" outlineLevelRow="0" outlineLevelCol="0"/>
  <cols>
    <col min="1" max="1" width="50" customWidth="true" style="0"/>
    <col min="2" max="2" width="16" customWidth="true" style="0"/>
    <col min="3" max="3" width="3" customWidth="true" style="0"/>
    <col min="4" max="4" width="7" customWidth="true" style="0"/>
    <col min="5" max="5" width="8" customWidth="true" style="0"/>
    <col min="6" max="6" width="11" customWidth="true" style="0"/>
    <col min="7" max="7" width="13" customWidth="true" style="0"/>
    <col min="8" max="8" width="13" customWidth="true" style="0"/>
    <col min="9" max="9" width="15" customWidth="true" style="0"/>
    <col min="10" max="10" width="13" customWidth="true" style="0"/>
    <col min="11" max="11" width="15" customWidth="true" style="0"/>
    <col min="12" max="12" width="8" customWidth="true" style="0"/>
  </cols>
  <sheetData>
    <row r="1" spans="1:12" customHeight="1" ht="26">
      <c r="A1" s="1" t="s">
        <v>151</v>
      </c>
      <c r="B1" s="2"/>
      <c r="C1" s="2"/>
      <c r="D1" s="2"/>
      <c r="E1" s="2"/>
      <c r="F1" s="2"/>
      <c r="G1" s="2"/>
      <c r="H1" s="2"/>
    </row>
    <row r="3" spans="1:12">
      <c r="A3" s="7" t="s">
        <v>152</v>
      </c>
      <c r="B3" s="8"/>
    </row>
    <row r="4" spans="1:12">
      <c r="A4" s="9" t="s">
        <v>153</v>
      </c>
      <c r="B4" s="28">
        <v>7000</v>
      </c>
    </row>
    <row r="5" spans="1:12">
      <c r="A5" s="9" t="s">
        <v>154</v>
      </c>
      <c r="B5" s="28">
        <v>5000</v>
      </c>
    </row>
    <row r="6" spans="1:12">
      <c r="A6" s="9" t="s">
        <v>155</v>
      </c>
      <c r="B6" s="28">
        <v>1500</v>
      </c>
    </row>
    <row r="7" spans="1:12">
      <c r="A7" s="9" t="s">
        <v>156</v>
      </c>
      <c r="B7" s="28">
        <v>1500</v>
      </c>
    </row>
    <row r="8" spans="1:12">
      <c r="A8" s="9" t="s">
        <v>157</v>
      </c>
      <c r="B8" s="28">
        <v>1000</v>
      </c>
    </row>
    <row r="9" spans="1:12">
      <c r="A9" s="9" t="s">
        <v>158</v>
      </c>
      <c r="B9" s="28">
        <v>2000</v>
      </c>
    </row>
    <row r="10" spans="1:12">
      <c r="A10" s="23" t="s">
        <v>159</v>
      </c>
      <c r="B10" s="30">
        <f>SUM(B4:B9)</f>
        <v>18000</v>
      </c>
    </row>
    <row r="12" spans="1:12">
      <c r="A12" s="7" t="s">
        <v>160</v>
      </c>
      <c r="B12" s="8"/>
    </row>
    <row r="13" spans="1:12">
      <c r="A13" s="9" t="s">
        <v>161</v>
      </c>
      <c r="B13" s="13">
        <v>500</v>
      </c>
    </row>
    <row r="14" spans="1:12">
      <c r="A14" s="9" t="s">
        <v>162</v>
      </c>
      <c r="B14" s="13">
        <v>30</v>
      </c>
    </row>
    <row r="15" spans="1:12">
      <c r="A15" s="9" t="s">
        <v>163</v>
      </c>
      <c r="B15" s="12">
        <v>0.01</v>
      </c>
    </row>
    <row r="16" spans="1:12">
      <c r="A16" s="9" t="s">
        <v>164</v>
      </c>
      <c r="B16" s="28">
        <v>250</v>
      </c>
    </row>
    <row r="17" spans="1:12">
      <c r="A17" s="9" t="s">
        <v>165</v>
      </c>
      <c r="B17" s="4">
        <v>2026</v>
      </c>
    </row>
    <row r="19" spans="1:12">
      <c r="A19" s="7" t="s">
        <v>166</v>
      </c>
      <c r="B19" s="8"/>
    </row>
    <row r="20" spans="1:12">
      <c r="A20" s="9" t="s">
        <v>167</v>
      </c>
      <c r="B20" s="19">
        <f>'Unit economics'!B20+'Unit economics'!B21</f>
        <v>0.045</v>
      </c>
    </row>
    <row r="21" spans="1:12">
      <c r="A21" s="9" t="s">
        <v>168</v>
      </c>
      <c r="B21" s="19">
        <f>'Unit economics'!B22</f>
        <v>0.1</v>
      </c>
    </row>
    <row r="22" spans="1:12">
      <c r="A22" s="9" t="s">
        <v>169</v>
      </c>
      <c r="B22" s="18">
        <f>'Unit economics'!B27</f>
        <v>0.06732</v>
      </c>
    </row>
    <row r="23" spans="1:12">
      <c r="A23" s="23" t="s">
        <v>170</v>
      </c>
      <c r="B23" s="31">
        <f>IFERROR(B10/B22,0)</f>
        <v>267379.67914439</v>
      </c>
    </row>
    <row r="24" spans="1:12">
      <c r="A24" s="9" t="s">
        <v>171</v>
      </c>
      <c r="B24" s="32">
        <f>IFERROR(B23/B13,0)</f>
        <v>534.75935828877</v>
      </c>
    </row>
    <row r="25" spans="1:12">
      <c r="A25" s="9" t="s">
        <v>172</v>
      </c>
      <c r="B25" s="33">
        <f>IFERROR(B23/Premissas!B31,0)</f>
        <v>4.4563279857398</v>
      </c>
    </row>
    <row r="26" spans="1:12">
      <c r="A26" s="9" t="s">
        <v>173</v>
      </c>
      <c r="B26" s="5">
        <f>IFERROR(MATCH(1,L32:L67,0),"após 36 meses")</f>
        <v>33</v>
      </c>
    </row>
    <row r="27" spans="1:12">
      <c r="A27" s="23" t="s">
        <v>174</v>
      </c>
      <c r="B27" s="30">
        <f>MAX(0,-MIN(K32:K67))</f>
        <v>360799.95500932</v>
      </c>
    </row>
    <row r="29" spans="1:12">
      <c r="A29" s="16" t="s">
        <v>175</v>
      </c>
    </row>
    <row r="31" spans="1:12">
      <c r="D31" s="15" t="s">
        <v>176</v>
      </c>
      <c r="E31" s="15" t="s">
        <v>32</v>
      </c>
      <c r="F31" s="15" t="s">
        <v>177</v>
      </c>
      <c r="G31" s="15" t="s">
        <v>178</v>
      </c>
      <c r="H31" s="15" t="s">
        <v>179</v>
      </c>
      <c r="I31" s="15" t="s">
        <v>180</v>
      </c>
      <c r="J31" s="15" t="s">
        <v>181</v>
      </c>
      <c r="K31" s="15" t="s">
        <v>182</v>
      </c>
      <c r="L31" s="15" t="s">
        <v>183</v>
      </c>
    </row>
    <row r="32" spans="1:12">
      <c r="D32" s="5">
        <v>1</v>
      </c>
      <c r="E32" s="5">
        <f>$B$17+INT((D32-1)/12)</f>
        <v>2026</v>
      </c>
      <c r="F32" s="32">
        <f>$B$14</f>
        <v>30</v>
      </c>
      <c r="G32" s="32">
        <f>F32*$B$13</f>
        <v>15000</v>
      </c>
      <c r="H32" s="11">
        <f>INDEX('Valor do crédito'!$D$10:$D$13,MAX(1,MIN(4,E32-2025)))*(Premissas!$B$25-(1-Premissas!$B$24)*$B$20-Premissas!$B$25*$B$21)</f>
        <v>0.06732</v>
      </c>
      <c r="I32" s="27">
        <f>G32*H32-$B$10</f>
        <v>-16990.2</v>
      </c>
      <c r="J32" s="27">
        <f>$B$14*$B$16</f>
        <v>7500</v>
      </c>
      <c r="K32" s="27">
        <f>I32-J32</f>
        <v>-24490.2</v>
      </c>
      <c r="L32" s="5">
        <f>IF(I32-J32&gt;=0,1,0)</f>
        <v>0</v>
      </c>
    </row>
    <row r="33" spans="1:12">
      <c r="D33" s="5">
        <v>2</v>
      </c>
      <c r="E33" s="5">
        <f>$B$17+INT((D33-1)/12)</f>
        <v>2026</v>
      </c>
      <c r="F33" s="32">
        <f>F32*(1-$B$15)+$B$14</f>
        <v>59.7</v>
      </c>
      <c r="G33" s="32">
        <f>F33*$B$13</f>
        <v>29850</v>
      </c>
      <c r="H33" s="11">
        <f>INDEX('Valor do crédito'!$D$10:$D$13,MAX(1,MIN(4,E33-2025)))*(Premissas!$B$25-(1-Premissas!$B$24)*$B$20-Premissas!$B$25*$B$21)</f>
        <v>0.06732</v>
      </c>
      <c r="I33" s="27">
        <f>G33*H33-$B$10</f>
        <v>-15990.498</v>
      </c>
      <c r="J33" s="27">
        <f>$B$14*$B$16</f>
        <v>7500</v>
      </c>
      <c r="K33" s="27">
        <f>K32+I33-J33</f>
        <v>-47980.698</v>
      </c>
      <c r="L33" s="5">
        <f>IF(I33-J33&gt;=0,1,0)</f>
        <v>0</v>
      </c>
    </row>
    <row r="34" spans="1:12">
      <c r="D34" s="5">
        <v>3</v>
      </c>
      <c r="E34" s="5">
        <f>$B$17+INT((D34-1)/12)</f>
        <v>2026</v>
      </c>
      <c r="F34" s="32">
        <f>F33*(1-$B$15)+$B$14</f>
        <v>89.103</v>
      </c>
      <c r="G34" s="32">
        <f>F34*$B$13</f>
        <v>44551.5</v>
      </c>
      <c r="H34" s="11">
        <f>INDEX('Valor do crédito'!$D$10:$D$13,MAX(1,MIN(4,E34-2025)))*(Premissas!$B$25-(1-Premissas!$B$24)*$B$20-Premissas!$B$25*$B$21)</f>
        <v>0.06732</v>
      </c>
      <c r="I34" s="27">
        <f>G34*H34-$B$10</f>
        <v>-15000.79302</v>
      </c>
      <c r="J34" s="27">
        <f>$B$14*$B$16</f>
        <v>7500</v>
      </c>
      <c r="K34" s="27">
        <f>K33+I34-J34</f>
        <v>-70481.49102</v>
      </c>
      <c r="L34" s="5">
        <f>IF(I34-J34&gt;=0,1,0)</f>
        <v>0</v>
      </c>
    </row>
    <row r="35" spans="1:12">
      <c r="D35" s="5">
        <v>4</v>
      </c>
      <c r="E35" s="5">
        <f>$B$17+INT((D35-1)/12)</f>
        <v>2026</v>
      </c>
      <c r="F35" s="32">
        <f>F34*(1-$B$15)+$B$14</f>
        <v>118.21197</v>
      </c>
      <c r="G35" s="32">
        <f>F35*$B$13</f>
        <v>59105.985</v>
      </c>
      <c r="H35" s="11">
        <f>INDEX('Valor do crédito'!$D$10:$D$13,MAX(1,MIN(4,E35-2025)))*(Premissas!$B$25-(1-Premissas!$B$24)*$B$20-Premissas!$B$25*$B$21)</f>
        <v>0.06732</v>
      </c>
      <c r="I35" s="27">
        <f>G35*H35-$B$10</f>
        <v>-14020.9850898</v>
      </c>
      <c r="J35" s="27">
        <f>$B$14*$B$16</f>
        <v>7500</v>
      </c>
      <c r="K35" s="27">
        <f>K34+I35-J35</f>
        <v>-92002.4761098</v>
      </c>
      <c r="L35" s="5">
        <f>IF(I35-J35&gt;=0,1,0)</f>
        <v>0</v>
      </c>
    </row>
    <row r="36" spans="1:12">
      <c r="D36" s="5">
        <v>5</v>
      </c>
      <c r="E36" s="5">
        <f>$B$17+INT((D36-1)/12)</f>
        <v>2026</v>
      </c>
      <c r="F36" s="32">
        <f>F35*(1-$B$15)+$B$14</f>
        <v>147.0298503</v>
      </c>
      <c r="G36" s="32">
        <f>F36*$B$13</f>
        <v>73514.92515</v>
      </c>
      <c r="H36" s="11">
        <f>INDEX('Valor do crédito'!$D$10:$D$13,MAX(1,MIN(4,E36-2025)))*(Premissas!$B$25-(1-Premissas!$B$24)*$B$20-Premissas!$B$25*$B$21)</f>
        <v>0.06732</v>
      </c>
      <c r="I36" s="27">
        <f>G36*H36-$B$10</f>
        <v>-13050.975238902</v>
      </c>
      <c r="J36" s="27">
        <f>$B$14*$B$16</f>
        <v>7500</v>
      </c>
      <c r="K36" s="27">
        <f>K35+I36-J36</f>
        <v>-112553.4513487</v>
      </c>
      <c r="L36" s="5">
        <f>IF(I36-J36&gt;=0,1,0)</f>
        <v>0</v>
      </c>
    </row>
    <row r="37" spans="1:12">
      <c r="D37" s="5">
        <v>6</v>
      </c>
      <c r="E37" s="5">
        <f>$B$17+INT((D37-1)/12)</f>
        <v>2026</v>
      </c>
      <c r="F37" s="32">
        <f>F36*(1-$B$15)+$B$14</f>
        <v>175.559551797</v>
      </c>
      <c r="G37" s="32">
        <f>F37*$B$13</f>
        <v>87779.7758985</v>
      </c>
      <c r="H37" s="11">
        <f>INDEX('Valor do crédito'!$D$10:$D$13,MAX(1,MIN(4,E37-2025)))*(Premissas!$B$25-(1-Premissas!$B$24)*$B$20-Premissas!$B$25*$B$21)</f>
        <v>0.06732</v>
      </c>
      <c r="I37" s="27">
        <f>G37*H37-$B$10</f>
        <v>-12090.665486513</v>
      </c>
      <c r="J37" s="27">
        <f>$B$14*$B$16</f>
        <v>7500</v>
      </c>
      <c r="K37" s="27">
        <f>K36+I37-J37</f>
        <v>-132144.11683521</v>
      </c>
      <c r="L37" s="5">
        <f>IF(I37-J37&gt;=0,1,0)</f>
        <v>0</v>
      </c>
    </row>
    <row r="38" spans="1:12">
      <c r="D38" s="5">
        <v>7</v>
      </c>
      <c r="E38" s="5">
        <f>$B$17+INT((D38-1)/12)</f>
        <v>2026</v>
      </c>
      <c r="F38" s="32">
        <f>F37*(1-$B$15)+$B$14</f>
        <v>203.80395627903</v>
      </c>
      <c r="G38" s="32">
        <f>F38*$B$13</f>
        <v>101901.97813952</v>
      </c>
      <c r="H38" s="11">
        <f>INDEX('Valor do crédito'!$D$10:$D$13,MAX(1,MIN(4,E38-2025)))*(Premissas!$B$25-(1-Premissas!$B$24)*$B$20-Premissas!$B$25*$B$21)</f>
        <v>0.06732</v>
      </c>
      <c r="I38" s="27">
        <f>G38*H38-$B$10</f>
        <v>-11139.958831648</v>
      </c>
      <c r="J38" s="27">
        <f>$B$14*$B$16</f>
        <v>7500</v>
      </c>
      <c r="K38" s="27">
        <f>K37+I38-J38</f>
        <v>-150784.07566686</v>
      </c>
      <c r="L38" s="5">
        <f>IF(I38-J38&gt;=0,1,0)</f>
        <v>0</v>
      </c>
    </row>
    <row r="39" spans="1:12">
      <c r="D39" s="5">
        <v>8</v>
      </c>
      <c r="E39" s="5">
        <f>$B$17+INT((D39-1)/12)</f>
        <v>2026</v>
      </c>
      <c r="F39" s="32">
        <f>F38*(1-$B$15)+$B$14</f>
        <v>231.76591671624</v>
      </c>
      <c r="G39" s="32">
        <f>F39*$B$13</f>
        <v>115882.95835812</v>
      </c>
      <c r="H39" s="11">
        <f>INDEX('Valor do crédito'!$D$10:$D$13,MAX(1,MIN(4,E39-2025)))*(Premissas!$B$25-(1-Premissas!$B$24)*$B$20-Premissas!$B$25*$B$21)</f>
        <v>0.06732</v>
      </c>
      <c r="I39" s="27">
        <f>G39*H39-$B$10</f>
        <v>-10198.759243331</v>
      </c>
      <c r="J39" s="27">
        <f>$B$14*$B$16</f>
        <v>7500</v>
      </c>
      <c r="K39" s="27">
        <f>K38+I39-J39</f>
        <v>-168482.83491019</v>
      </c>
      <c r="L39" s="5">
        <f>IF(I39-J39&gt;=0,1,0)</f>
        <v>0</v>
      </c>
    </row>
    <row r="40" spans="1:12">
      <c r="D40" s="5">
        <v>9</v>
      </c>
      <c r="E40" s="5">
        <f>$B$17+INT((D40-1)/12)</f>
        <v>2026</v>
      </c>
      <c r="F40" s="32">
        <f>F39*(1-$B$15)+$B$14</f>
        <v>259.44825754908</v>
      </c>
      <c r="G40" s="32">
        <f>F40*$B$13</f>
        <v>129724.12877454</v>
      </c>
      <c r="H40" s="11">
        <f>INDEX('Valor do crédito'!$D$10:$D$13,MAX(1,MIN(4,E40-2025)))*(Premissas!$B$25-(1-Premissas!$B$24)*$B$20-Premissas!$B$25*$B$21)</f>
        <v>0.06732</v>
      </c>
      <c r="I40" s="27">
        <f>G40*H40-$B$10</f>
        <v>-9266.9716508981</v>
      </c>
      <c r="J40" s="27">
        <f>$B$14*$B$16</f>
        <v>7500</v>
      </c>
      <c r="K40" s="27">
        <f>K39+I40-J40</f>
        <v>-185249.80656109</v>
      </c>
      <c r="L40" s="5">
        <f>IF(I40-J40&gt;=0,1,0)</f>
        <v>0</v>
      </c>
    </row>
    <row r="41" spans="1:12">
      <c r="D41" s="5">
        <v>10</v>
      </c>
      <c r="E41" s="5">
        <f>$B$17+INT((D41-1)/12)</f>
        <v>2026</v>
      </c>
      <c r="F41" s="32">
        <f>F40*(1-$B$15)+$B$14</f>
        <v>286.85377497359</v>
      </c>
      <c r="G41" s="32">
        <f>F41*$B$13</f>
        <v>143426.88748679</v>
      </c>
      <c r="H41" s="11">
        <f>INDEX('Valor do crédito'!$D$10:$D$13,MAX(1,MIN(4,E41-2025)))*(Premissas!$B$25-(1-Premissas!$B$24)*$B$20-Premissas!$B$25*$B$21)</f>
        <v>0.06732</v>
      </c>
      <c r="I41" s="27">
        <f>G41*H41-$B$10</f>
        <v>-8344.5019343891</v>
      </c>
      <c r="J41" s="27">
        <f>$B$14*$B$16</f>
        <v>7500</v>
      </c>
      <c r="K41" s="27">
        <f>K40+I41-J41</f>
        <v>-201094.30849548</v>
      </c>
      <c r="L41" s="5">
        <f>IF(I41-J41&gt;=0,1,0)</f>
        <v>0</v>
      </c>
    </row>
    <row r="42" spans="1:12">
      <c r="D42" s="5">
        <v>11</v>
      </c>
      <c r="E42" s="5">
        <f>$B$17+INT((D42-1)/12)</f>
        <v>2026</v>
      </c>
      <c r="F42" s="32">
        <f>F41*(1-$B$15)+$B$14</f>
        <v>313.98523722385</v>
      </c>
      <c r="G42" s="32">
        <f>F42*$B$13</f>
        <v>156992.61861193</v>
      </c>
      <c r="H42" s="11">
        <f>INDEX('Valor do crédito'!$D$10:$D$13,MAX(1,MIN(4,E42-2025)))*(Premissas!$B$25-(1-Premissas!$B$24)*$B$20-Premissas!$B$25*$B$21)</f>
        <v>0.06732</v>
      </c>
      <c r="I42" s="27">
        <f>G42*H42-$B$10</f>
        <v>-7431.2569150452</v>
      </c>
      <c r="J42" s="27">
        <f>$B$14*$B$16</f>
        <v>7500</v>
      </c>
      <c r="K42" s="27">
        <f>K41+I42-J42</f>
        <v>-216025.56541053</v>
      </c>
      <c r="L42" s="5">
        <f>IF(I42-J42&gt;=0,1,0)</f>
        <v>0</v>
      </c>
    </row>
    <row r="43" spans="1:12">
      <c r="D43" s="5">
        <v>12</v>
      </c>
      <c r="E43" s="5">
        <f>$B$17+INT((D43-1)/12)</f>
        <v>2026</v>
      </c>
      <c r="F43" s="32">
        <f>F42*(1-$B$15)+$B$14</f>
        <v>340.84538485161</v>
      </c>
      <c r="G43" s="32">
        <f>F43*$B$13</f>
        <v>170422.69242581</v>
      </c>
      <c r="H43" s="11">
        <f>INDEX('Valor do crédito'!$D$10:$D$13,MAX(1,MIN(4,E43-2025)))*(Premissas!$B$25-(1-Premissas!$B$24)*$B$20-Premissas!$B$25*$B$21)</f>
        <v>0.06732</v>
      </c>
      <c r="I43" s="27">
        <f>G43*H43-$B$10</f>
        <v>-6527.1443458947</v>
      </c>
      <c r="J43" s="27">
        <f>$B$14*$B$16</f>
        <v>7500</v>
      </c>
      <c r="K43" s="27">
        <f>K42+I43-J43</f>
        <v>-230052.70975642</v>
      </c>
      <c r="L43" s="5">
        <f>IF(I43-J43&gt;=0,1,0)</f>
        <v>0</v>
      </c>
    </row>
    <row r="44" spans="1:12">
      <c r="D44" s="5">
        <v>13</v>
      </c>
      <c r="E44" s="5">
        <f>$B$17+INT((D44-1)/12)</f>
        <v>2027</v>
      </c>
      <c r="F44" s="32">
        <f>F43*(1-$B$15)+$B$14</f>
        <v>367.4369310031</v>
      </c>
      <c r="G44" s="32">
        <f>F44*$B$13</f>
        <v>183718.46550155</v>
      </c>
      <c r="H44" s="11">
        <f>INDEX('Valor do crédito'!$D$10:$D$13,MAX(1,MIN(4,E44-2025)))*(Premissas!$B$25-(1-Premissas!$B$24)*$B$20-Premissas!$B$25*$B$21)</f>
        <v>0.06435</v>
      </c>
      <c r="I44" s="27">
        <f>G44*H44-$B$10</f>
        <v>-6177.7167449754</v>
      </c>
      <c r="J44" s="27">
        <f>$B$14*$B$16</f>
        <v>7500</v>
      </c>
      <c r="K44" s="27">
        <f>K43+I44-J44</f>
        <v>-243730.4265014</v>
      </c>
      <c r="L44" s="5">
        <f>IF(I44-J44&gt;=0,1,0)</f>
        <v>0</v>
      </c>
    </row>
    <row r="45" spans="1:12">
      <c r="D45" s="5">
        <v>14</v>
      </c>
      <c r="E45" s="5">
        <f>$B$17+INT((D45-1)/12)</f>
        <v>2027</v>
      </c>
      <c r="F45" s="32">
        <f>F44*(1-$B$15)+$B$14</f>
        <v>393.76256169307</v>
      </c>
      <c r="G45" s="32">
        <f>F45*$B$13</f>
        <v>196881.28084653</v>
      </c>
      <c r="H45" s="11">
        <f>INDEX('Valor do crédito'!$D$10:$D$13,MAX(1,MIN(4,E45-2025)))*(Premissas!$B$25-(1-Premissas!$B$24)*$B$20-Premissas!$B$25*$B$21)</f>
        <v>0.06435</v>
      </c>
      <c r="I45" s="27">
        <f>G45*H45-$B$10</f>
        <v>-5330.6895775256</v>
      </c>
      <c r="J45" s="27">
        <f>$B$14*$B$16</f>
        <v>7500</v>
      </c>
      <c r="K45" s="27">
        <f>K44+I45-J45</f>
        <v>-256561.11607892</v>
      </c>
      <c r="L45" s="5">
        <f>IF(I45-J45&gt;=0,1,0)</f>
        <v>0</v>
      </c>
    </row>
    <row r="46" spans="1:12">
      <c r="D46" s="5">
        <v>15</v>
      </c>
      <c r="E46" s="5">
        <f>$B$17+INT((D46-1)/12)</f>
        <v>2027</v>
      </c>
      <c r="F46" s="32">
        <f>F45*(1-$B$15)+$B$14</f>
        <v>419.82493607613</v>
      </c>
      <c r="G46" s="32">
        <f>F46*$B$13</f>
        <v>209912.46803807</v>
      </c>
      <c r="H46" s="11">
        <f>INDEX('Valor do crédito'!$D$10:$D$13,MAX(1,MIN(4,E46-2025)))*(Premissas!$B$25-(1-Premissas!$B$24)*$B$20-Premissas!$B$25*$B$21)</f>
        <v>0.06435</v>
      </c>
      <c r="I46" s="27">
        <f>G46*H46-$B$10</f>
        <v>-4492.1326817504</v>
      </c>
      <c r="J46" s="27">
        <f>$B$14*$B$16</f>
        <v>7500</v>
      </c>
      <c r="K46" s="27">
        <f>K45+I46-J46</f>
        <v>-268553.24876067</v>
      </c>
      <c r="L46" s="5">
        <f>IF(I46-J46&gt;=0,1,0)</f>
        <v>0</v>
      </c>
    </row>
    <row r="47" spans="1:12">
      <c r="D47" s="5">
        <v>16</v>
      </c>
      <c r="E47" s="5">
        <f>$B$17+INT((D47-1)/12)</f>
        <v>2027</v>
      </c>
      <c r="F47" s="32">
        <f>F46*(1-$B$15)+$B$14</f>
        <v>445.62668671537</v>
      </c>
      <c r="G47" s="32">
        <f>F47*$B$13</f>
        <v>222813.34335769</v>
      </c>
      <c r="H47" s="11">
        <f>INDEX('Valor do crédito'!$D$10:$D$13,MAX(1,MIN(4,E47-2025)))*(Premissas!$B$25-(1-Premissas!$B$24)*$B$20-Premissas!$B$25*$B$21)</f>
        <v>0.06435</v>
      </c>
      <c r="I47" s="27">
        <f>G47*H47-$B$10</f>
        <v>-3661.9613549329</v>
      </c>
      <c r="J47" s="27">
        <f>$B$14*$B$16</f>
        <v>7500</v>
      </c>
      <c r="K47" s="27">
        <f>K46+I47-J47</f>
        <v>-279715.21011561</v>
      </c>
      <c r="L47" s="5">
        <f>IF(I47-J47&gt;=0,1,0)</f>
        <v>0</v>
      </c>
    </row>
    <row r="48" spans="1:12">
      <c r="D48" s="5">
        <v>17</v>
      </c>
      <c r="E48" s="5">
        <f>$B$17+INT((D48-1)/12)</f>
        <v>2027</v>
      </c>
      <c r="F48" s="32">
        <f>F47*(1-$B$15)+$B$14</f>
        <v>471.17041984822</v>
      </c>
      <c r="G48" s="32">
        <f>F48*$B$13</f>
        <v>235585.20992411</v>
      </c>
      <c r="H48" s="11">
        <f>INDEX('Valor do crédito'!$D$10:$D$13,MAX(1,MIN(4,E48-2025)))*(Premissas!$B$25-(1-Premissas!$B$24)*$B$20-Premissas!$B$25*$B$21)</f>
        <v>0.06435</v>
      </c>
      <c r="I48" s="27">
        <f>G48*H48-$B$10</f>
        <v>-2840.0917413835</v>
      </c>
      <c r="J48" s="27">
        <f>$B$14*$B$16</f>
        <v>7500</v>
      </c>
      <c r="K48" s="27">
        <f>K47+I48-J48</f>
        <v>-290055.30185699</v>
      </c>
      <c r="L48" s="5">
        <f>IF(I48-J48&gt;=0,1,0)</f>
        <v>0</v>
      </c>
    </row>
    <row r="49" spans="1:12">
      <c r="D49" s="5">
        <v>18</v>
      </c>
      <c r="E49" s="5">
        <f>$B$17+INT((D49-1)/12)</f>
        <v>2027</v>
      </c>
      <c r="F49" s="32">
        <f>F48*(1-$B$15)+$B$14</f>
        <v>496.45871564974</v>
      </c>
      <c r="G49" s="32">
        <f>F49*$B$13</f>
        <v>248229.35782487</v>
      </c>
      <c r="H49" s="11">
        <f>INDEX('Valor do crédito'!$D$10:$D$13,MAX(1,MIN(4,E49-2025)))*(Premissas!$B$25-(1-Premissas!$B$24)*$B$20-Premissas!$B$25*$B$21)</f>
        <v>0.06435</v>
      </c>
      <c r="I49" s="27">
        <f>G49*H49-$B$10</f>
        <v>-2026.4408239697</v>
      </c>
      <c r="J49" s="27">
        <f>$B$14*$B$16</f>
        <v>7500</v>
      </c>
      <c r="K49" s="27">
        <f>K48+I49-J49</f>
        <v>-299581.74268096</v>
      </c>
      <c r="L49" s="5">
        <f>IF(I49-J49&gt;=0,1,0)</f>
        <v>0</v>
      </c>
    </row>
    <row r="50" spans="1:12">
      <c r="D50" s="5">
        <v>19</v>
      </c>
      <c r="E50" s="5">
        <f>$B$17+INT((D50-1)/12)</f>
        <v>2027</v>
      </c>
      <c r="F50" s="32">
        <f>F49*(1-$B$15)+$B$14</f>
        <v>521.49412849324</v>
      </c>
      <c r="G50" s="32">
        <f>F50*$B$13</f>
        <v>260747.06424662</v>
      </c>
      <c r="H50" s="11">
        <f>INDEX('Valor do crédito'!$D$10:$D$13,MAX(1,MIN(4,E50-2025)))*(Premissas!$B$25-(1-Premissas!$B$24)*$B$20-Premissas!$B$25*$B$21)</f>
        <v>0.06435</v>
      </c>
      <c r="I50" s="27">
        <f>G50*H50-$B$10</f>
        <v>-1220.92641573</v>
      </c>
      <c r="J50" s="27">
        <f>$B$14*$B$16</f>
        <v>7500</v>
      </c>
      <c r="K50" s="27">
        <f>K49+I50-J50</f>
        <v>-308302.66909669</v>
      </c>
      <c r="L50" s="5">
        <f>IF(I50-J50&gt;=0,1,0)</f>
        <v>0</v>
      </c>
    </row>
    <row r="51" spans="1:12">
      <c r="D51" s="5">
        <v>20</v>
      </c>
      <c r="E51" s="5">
        <f>$B$17+INT((D51-1)/12)</f>
        <v>2027</v>
      </c>
      <c r="F51" s="32">
        <f>F50*(1-$B$15)+$B$14</f>
        <v>546.27918720831</v>
      </c>
      <c r="G51" s="32">
        <f>F51*$B$13</f>
        <v>273139.59360415</v>
      </c>
      <c r="H51" s="11">
        <f>INDEX('Valor do crédito'!$D$10:$D$13,MAX(1,MIN(4,E51-2025)))*(Premissas!$B$25-(1-Premissas!$B$24)*$B$20-Premissas!$B$25*$B$21)</f>
        <v>0.06435</v>
      </c>
      <c r="I51" s="27">
        <f>G51*H51-$B$10</f>
        <v>-423.46715157271</v>
      </c>
      <c r="J51" s="27">
        <f>$B$14*$B$16</f>
        <v>7500</v>
      </c>
      <c r="K51" s="27">
        <f>K50+I51-J51</f>
        <v>-316226.13624826</v>
      </c>
      <c r="L51" s="5">
        <f>IF(I51-J51&gt;=0,1,0)</f>
        <v>0</v>
      </c>
    </row>
    <row r="52" spans="1:12">
      <c r="D52" s="5">
        <v>21</v>
      </c>
      <c r="E52" s="5">
        <f>$B$17+INT((D52-1)/12)</f>
        <v>2027</v>
      </c>
      <c r="F52" s="32">
        <f>F51*(1-$B$15)+$B$14</f>
        <v>570.81639533622</v>
      </c>
      <c r="G52" s="32">
        <f>F52*$B$13</f>
        <v>285408.19766811</v>
      </c>
      <c r="H52" s="11">
        <f>INDEX('Valor do crédito'!$D$10:$D$13,MAX(1,MIN(4,E52-2025)))*(Premissas!$B$25-(1-Premissas!$B$24)*$B$20-Premissas!$B$25*$B$21)</f>
        <v>0.06435</v>
      </c>
      <c r="I52" s="27">
        <f>G52*H52-$B$10</f>
        <v>366.01751994302</v>
      </c>
      <c r="J52" s="27">
        <f>$B$14*$B$16</f>
        <v>7500</v>
      </c>
      <c r="K52" s="27">
        <f>K51+I52-J52</f>
        <v>-323360.11872832</v>
      </c>
      <c r="L52" s="5">
        <f>IF(I52-J52&gt;=0,1,0)</f>
        <v>0</v>
      </c>
    </row>
    <row r="53" spans="1:12">
      <c r="D53" s="5">
        <v>22</v>
      </c>
      <c r="E53" s="5">
        <f>$B$17+INT((D53-1)/12)</f>
        <v>2027</v>
      </c>
      <c r="F53" s="32">
        <f>F52*(1-$B$15)+$B$14</f>
        <v>595.10823138286</v>
      </c>
      <c r="G53" s="32">
        <f>F53*$B$13</f>
        <v>297554.11569143</v>
      </c>
      <c r="H53" s="11">
        <f>INDEX('Valor do crédito'!$D$10:$D$13,MAX(1,MIN(4,E53-2025)))*(Premissas!$B$25-(1-Premissas!$B$24)*$B$20-Premissas!$B$25*$B$21)</f>
        <v>0.06435</v>
      </c>
      <c r="I53" s="27">
        <f>G53*H53-$B$10</f>
        <v>1147.6073447436</v>
      </c>
      <c r="J53" s="27">
        <f>$B$14*$B$16</f>
        <v>7500</v>
      </c>
      <c r="K53" s="27">
        <f>K52+I53-J53</f>
        <v>-329712.51138357</v>
      </c>
      <c r="L53" s="5">
        <f>IF(I53-J53&gt;=0,1,0)</f>
        <v>0</v>
      </c>
    </row>
    <row r="54" spans="1:12">
      <c r="D54" s="5">
        <v>23</v>
      </c>
      <c r="E54" s="5">
        <f>$B$17+INT((D54-1)/12)</f>
        <v>2027</v>
      </c>
      <c r="F54" s="32">
        <f>F53*(1-$B$15)+$B$14</f>
        <v>619.15714906903</v>
      </c>
      <c r="G54" s="32">
        <f>F54*$B$13</f>
        <v>309578.57453452</v>
      </c>
      <c r="H54" s="11">
        <f>INDEX('Valor do crédito'!$D$10:$D$13,MAX(1,MIN(4,E54-2025)))*(Premissas!$B$25-(1-Premissas!$B$24)*$B$20-Premissas!$B$25*$B$21)</f>
        <v>0.06435</v>
      </c>
      <c r="I54" s="27">
        <f>G54*H54-$B$10</f>
        <v>1921.3812712961</v>
      </c>
      <c r="J54" s="27">
        <f>$B$14*$B$16</f>
        <v>7500</v>
      </c>
      <c r="K54" s="27">
        <f>K53+I54-J54</f>
        <v>-335291.13011228</v>
      </c>
      <c r="L54" s="5">
        <f>IF(I54-J54&gt;=0,1,0)</f>
        <v>0</v>
      </c>
    </row>
    <row r="55" spans="1:12">
      <c r="D55" s="5">
        <v>24</v>
      </c>
      <c r="E55" s="5">
        <f>$B$17+INT((D55-1)/12)</f>
        <v>2027</v>
      </c>
      <c r="F55" s="32">
        <f>F54*(1-$B$15)+$B$14</f>
        <v>642.96557757834</v>
      </c>
      <c r="G55" s="32">
        <f>F55*$B$13</f>
        <v>321482.78878917</v>
      </c>
      <c r="H55" s="11">
        <f>INDEX('Valor do crédito'!$D$10:$D$13,MAX(1,MIN(4,E55-2025)))*(Premissas!$B$25-(1-Premissas!$B$24)*$B$20-Premissas!$B$25*$B$21)</f>
        <v>0.06435</v>
      </c>
      <c r="I55" s="27">
        <f>G55*H55-$B$10</f>
        <v>2687.4174585832</v>
      </c>
      <c r="J55" s="27">
        <f>$B$14*$B$16</f>
        <v>7500</v>
      </c>
      <c r="K55" s="27">
        <f>K54+I55-J55</f>
        <v>-340103.7126537</v>
      </c>
      <c r="L55" s="5">
        <f>IF(I55-J55&gt;=0,1,0)</f>
        <v>0</v>
      </c>
    </row>
    <row r="56" spans="1:12">
      <c r="D56" s="5">
        <v>25</v>
      </c>
      <c r="E56" s="5">
        <f>$B$17+INT((D56-1)/12)</f>
        <v>2028</v>
      </c>
      <c r="F56" s="32">
        <f>F55*(1-$B$15)+$B$14</f>
        <v>666.53592180256</v>
      </c>
      <c r="G56" s="32">
        <f>F56*$B$13</f>
        <v>333267.96090128</v>
      </c>
      <c r="H56" s="11">
        <f>INDEX('Valor do crédito'!$D$10:$D$13,MAX(1,MIN(4,E56-2025)))*(Premissas!$B$25-(1-Premissas!$B$24)*$B$20-Premissas!$B$25*$B$21)</f>
        <v>0.06138</v>
      </c>
      <c r="I56" s="27">
        <f>G56*H56-$B$10</f>
        <v>2455.9874401206</v>
      </c>
      <c r="J56" s="27">
        <f>$B$14*$B$16</f>
        <v>7500</v>
      </c>
      <c r="K56" s="27">
        <f>K55+I56-J56</f>
        <v>-345147.72521358</v>
      </c>
      <c r="L56" s="5">
        <f>IF(I56-J56&gt;=0,1,0)</f>
        <v>0</v>
      </c>
    </row>
    <row r="57" spans="1:12">
      <c r="D57" s="5">
        <v>26</v>
      </c>
      <c r="E57" s="5">
        <f>$B$17+INT((D57-1)/12)</f>
        <v>2028</v>
      </c>
      <c r="F57" s="32">
        <f>F56*(1-$B$15)+$B$14</f>
        <v>689.87056258453</v>
      </c>
      <c r="G57" s="32">
        <f>F57*$B$13</f>
        <v>344935.28129227</v>
      </c>
      <c r="H57" s="11">
        <f>INDEX('Valor do crédito'!$D$10:$D$13,MAX(1,MIN(4,E57-2025)))*(Premissas!$B$25-(1-Premissas!$B$24)*$B$20-Premissas!$B$25*$B$21)</f>
        <v>0.06138</v>
      </c>
      <c r="I57" s="27">
        <f>G57*H57-$B$10</f>
        <v>3172.1275657194</v>
      </c>
      <c r="J57" s="27">
        <f>$B$14*$B$16</f>
        <v>7500</v>
      </c>
      <c r="K57" s="27">
        <f>K56+I57-J57</f>
        <v>-349475.59764786</v>
      </c>
      <c r="L57" s="5">
        <f>IF(I57-J57&gt;=0,1,0)</f>
        <v>0</v>
      </c>
    </row>
    <row r="58" spans="1:12">
      <c r="D58" s="5">
        <v>27</v>
      </c>
      <c r="E58" s="5">
        <f>$B$17+INT((D58-1)/12)</f>
        <v>2028</v>
      </c>
      <c r="F58" s="32">
        <f>F57*(1-$B$15)+$B$14</f>
        <v>712.97185695869</v>
      </c>
      <c r="G58" s="32">
        <f>F58*$B$13</f>
        <v>356485.92847934</v>
      </c>
      <c r="H58" s="11">
        <f>INDEX('Valor do crédito'!$D$10:$D$13,MAX(1,MIN(4,E58-2025)))*(Premissas!$B$25-(1-Premissas!$B$24)*$B$20-Premissas!$B$25*$B$21)</f>
        <v>0.06138</v>
      </c>
      <c r="I58" s="27">
        <f>G58*H58-$B$10</f>
        <v>3881.1062900622</v>
      </c>
      <c r="J58" s="27">
        <f>$B$14*$B$16</f>
        <v>7500</v>
      </c>
      <c r="K58" s="27">
        <f>K57+I58-J58</f>
        <v>-353094.49135779</v>
      </c>
      <c r="L58" s="5">
        <f>IF(I58-J58&gt;=0,1,0)</f>
        <v>0</v>
      </c>
    </row>
    <row r="59" spans="1:12">
      <c r="D59" s="5">
        <v>28</v>
      </c>
      <c r="E59" s="5">
        <f>$B$17+INT((D59-1)/12)</f>
        <v>2028</v>
      </c>
      <c r="F59" s="32">
        <f>F58*(1-$B$15)+$B$14</f>
        <v>735.8421383891</v>
      </c>
      <c r="G59" s="32">
        <f>F59*$B$13</f>
        <v>367921.06919455</v>
      </c>
      <c r="H59" s="11">
        <f>INDEX('Valor do crédito'!$D$10:$D$13,MAX(1,MIN(4,E59-2025)))*(Premissas!$B$25-(1-Premissas!$B$24)*$B$20-Premissas!$B$25*$B$21)</f>
        <v>0.06138</v>
      </c>
      <c r="I59" s="27">
        <f>G59*H59-$B$10</f>
        <v>4582.9952271615</v>
      </c>
      <c r="J59" s="27">
        <f>$B$14*$B$16</f>
        <v>7500</v>
      </c>
      <c r="K59" s="27">
        <f>K58+I59-J59</f>
        <v>-356011.49613063</v>
      </c>
      <c r="L59" s="5">
        <f>IF(I59-J59&gt;=0,1,0)</f>
        <v>0</v>
      </c>
    </row>
    <row r="60" spans="1:12">
      <c r="D60" s="5">
        <v>29</v>
      </c>
      <c r="E60" s="5">
        <f>$B$17+INT((D60-1)/12)</f>
        <v>2028</v>
      </c>
      <c r="F60" s="32">
        <f>F59*(1-$B$15)+$B$14</f>
        <v>758.48371700521</v>
      </c>
      <c r="G60" s="32">
        <f>F60*$B$13</f>
        <v>379241.85850261</v>
      </c>
      <c r="H60" s="11">
        <f>INDEX('Valor do crédito'!$D$10:$D$13,MAX(1,MIN(4,E60-2025)))*(Premissas!$B$25-(1-Premissas!$B$24)*$B$20-Premissas!$B$25*$B$21)</f>
        <v>0.06138</v>
      </c>
      <c r="I60" s="27">
        <f>G60*H60-$B$10</f>
        <v>5277.8652748899</v>
      </c>
      <c r="J60" s="27">
        <f>$B$14*$B$16</f>
        <v>7500</v>
      </c>
      <c r="K60" s="27">
        <f>K59+I60-J60</f>
        <v>-358233.63085574</v>
      </c>
      <c r="L60" s="5">
        <f>IF(I60-J60&gt;=0,1,0)</f>
        <v>0</v>
      </c>
    </row>
    <row r="61" spans="1:12">
      <c r="D61" s="5">
        <v>30</v>
      </c>
      <c r="E61" s="5">
        <f>$B$17+INT((D61-1)/12)</f>
        <v>2028</v>
      </c>
      <c r="F61" s="32">
        <f>F60*(1-$B$15)+$B$14</f>
        <v>780.89887983516</v>
      </c>
      <c r="G61" s="32">
        <f>F61*$B$13</f>
        <v>390449.43991758</v>
      </c>
      <c r="H61" s="11">
        <f>INDEX('Valor do crédito'!$D$10:$D$13,MAX(1,MIN(4,E61-2025)))*(Premissas!$B$25-(1-Premissas!$B$24)*$B$20-Premissas!$B$25*$B$21)</f>
        <v>0.06138</v>
      </c>
      <c r="I61" s="27">
        <f>G61*H61-$B$10</f>
        <v>5965.786622141</v>
      </c>
      <c r="J61" s="27">
        <f>$B$14*$B$16</f>
        <v>7500</v>
      </c>
      <c r="K61" s="27">
        <f>K60+I61-J61</f>
        <v>-359767.8442336</v>
      </c>
      <c r="L61" s="5">
        <f>IF(I61-J61&gt;=0,1,0)</f>
        <v>0</v>
      </c>
    </row>
    <row r="62" spans="1:12">
      <c r="D62" s="5">
        <v>31</v>
      </c>
      <c r="E62" s="5">
        <f>$B$17+INT((D62-1)/12)</f>
        <v>2028</v>
      </c>
      <c r="F62" s="32">
        <f>F61*(1-$B$15)+$B$14</f>
        <v>803.08989103681</v>
      </c>
      <c r="G62" s="32">
        <f>F62*$B$13</f>
        <v>401544.9455184</v>
      </c>
      <c r="H62" s="11">
        <f>INDEX('Valor do crédito'!$D$10:$D$13,MAX(1,MIN(4,E62-2025)))*(Premissas!$B$25-(1-Premissas!$B$24)*$B$20-Premissas!$B$25*$B$21)</f>
        <v>0.06138</v>
      </c>
      <c r="I62" s="27">
        <f>G62*H62-$B$10</f>
        <v>6646.8287559196</v>
      </c>
      <c r="J62" s="27">
        <f>$B$14*$B$16</f>
        <v>7500</v>
      </c>
      <c r="K62" s="27">
        <f>K61+I62-J62</f>
        <v>-360621.01547768</v>
      </c>
      <c r="L62" s="5">
        <f>IF(I62-J62&gt;=0,1,0)</f>
        <v>0</v>
      </c>
    </row>
    <row r="63" spans="1:12">
      <c r="D63" s="5">
        <v>32</v>
      </c>
      <c r="E63" s="5">
        <f>$B$17+INT((D63-1)/12)</f>
        <v>2028</v>
      </c>
      <c r="F63" s="32">
        <f>F62*(1-$B$15)+$B$14</f>
        <v>825.05899212644</v>
      </c>
      <c r="G63" s="32">
        <f>F63*$B$13</f>
        <v>412529.49606322</v>
      </c>
      <c r="H63" s="11">
        <f>INDEX('Valor do crédito'!$D$10:$D$13,MAX(1,MIN(4,E63-2025)))*(Premissas!$B$25-(1-Premissas!$B$24)*$B$20-Premissas!$B$25*$B$21)</f>
        <v>0.06138</v>
      </c>
      <c r="I63" s="27">
        <f>G63*H63-$B$10</f>
        <v>7321.0604683604</v>
      </c>
      <c r="J63" s="27">
        <f>$B$14*$B$16</f>
        <v>7500</v>
      </c>
      <c r="K63" s="27">
        <f>K62+I63-J63</f>
        <v>-360799.95500932</v>
      </c>
      <c r="L63" s="5">
        <f>IF(I63-J63&gt;=0,1,0)</f>
        <v>0</v>
      </c>
    </row>
    <row r="64" spans="1:12">
      <c r="D64" s="5">
        <v>33</v>
      </c>
      <c r="E64" s="5">
        <f>$B$17+INT((D64-1)/12)</f>
        <v>2028</v>
      </c>
      <c r="F64" s="32">
        <f>F63*(1-$B$15)+$B$14</f>
        <v>846.80840220517</v>
      </c>
      <c r="G64" s="32">
        <f>F64*$B$13</f>
        <v>423404.20110259</v>
      </c>
      <c r="H64" s="11">
        <f>INDEX('Valor do crédito'!$D$10:$D$13,MAX(1,MIN(4,E64-2025)))*(Premissas!$B$25-(1-Premissas!$B$24)*$B$20-Premissas!$B$25*$B$21)</f>
        <v>0.06138</v>
      </c>
      <c r="I64" s="27">
        <f>G64*H64-$B$10</f>
        <v>7988.5498636768</v>
      </c>
      <c r="J64" s="27">
        <f>$B$14*$B$16</f>
        <v>7500</v>
      </c>
      <c r="K64" s="27">
        <f>K63+I64-J64</f>
        <v>-360311.40514564</v>
      </c>
      <c r="L64" s="5">
        <f>IF(I64-J64&gt;=0,1,0)</f>
        <v>1</v>
      </c>
    </row>
    <row r="65" spans="1:12">
      <c r="D65" s="5">
        <v>34</v>
      </c>
      <c r="E65" s="5">
        <f>$B$17+INT((D65-1)/12)</f>
        <v>2028</v>
      </c>
      <c r="F65" s="32">
        <f>F64*(1-$B$15)+$B$14</f>
        <v>868.34031818312</v>
      </c>
      <c r="G65" s="32">
        <f>F65*$B$13</f>
        <v>434170.15909156</v>
      </c>
      <c r="H65" s="11">
        <f>INDEX('Valor do crédito'!$D$10:$D$13,MAX(1,MIN(4,E65-2025)))*(Premissas!$B$25-(1-Premissas!$B$24)*$B$20-Premissas!$B$25*$B$21)</f>
        <v>0.06138</v>
      </c>
      <c r="I65" s="27">
        <f>G65*H65-$B$10</f>
        <v>8649.36436504</v>
      </c>
      <c r="J65" s="27">
        <f>$B$14*$B$16</f>
        <v>7500</v>
      </c>
      <c r="K65" s="27">
        <f>K64+I65-J65</f>
        <v>-359162.0407806</v>
      </c>
      <c r="L65" s="5">
        <f>IF(I65-J65&gt;=0,1,0)</f>
        <v>1</v>
      </c>
    </row>
    <row r="66" spans="1:12">
      <c r="D66" s="5">
        <v>35</v>
      </c>
      <c r="E66" s="5">
        <f>$B$17+INT((D66-1)/12)</f>
        <v>2028</v>
      </c>
      <c r="F66" s="32">
        <f>F65*(1-$B$15)+$B$14</f>
        <v>889.65691500129</v>
      </c>
      <c r="G66" s="32">
        <f>F66*$B$13</f>
        <v>444828.45750065</v>
      </c>
      <c r="H66" s="11">
        <f>INDEX('Valor do crédito'!$D$10:$D$13,MAX(1,MIN(4,E66-2025)))*(Premissas!$B$25-(1-Premissas!$B$24)*$B$20-Premissas!$B$25*$B$21)</f>
        <v>0.06138</v>
      </c>
      <c r="I66" s="27">
        <f>G66*H66-$B$10</f>
        <v>9303.5707213896</v>
      </c>
      <c r="J66" s="27">
        <f>$B$14*$B$16</f>
        <v>7500</v>
      </c>
      <c r="K66" s="27">
        <f>K65+I66-J66</f>
        <v>-357358.47005921</v>
      </c>
      <c r="L66" s="5">
        <f>IF(I66-J66&gt;=0,1,0)</f>
        <v>1</v>
      </c>
    </row>
    <row r="67" spans="1:12">
      <c r="D67" s="5">
        <v>36</v>
      </c>
      <c r="E67" s="5">
        <f>$B$17+INT((D67-1)/12)</f>
        <v>2028</v>
      </c>
      <c r="F67" s="32">
        <f>F66*(1-$B$15)+$B$14</f>
        <v>910.76034585128</v>
      </c>
      <c r="G67" s="32">
        <f>F67*$B$13</f>
        <v>455380.17292564</v>
      </c>
      <c r="H67" s="11">
        <f>INDEX('Valor do crédito'!$D$10:$D$13,MAX(1,MIN(4,E67-2025)))*(Premissas!$B$25-(1-Premissas!$B$24)*$B$20-Premissas!$B$25*$B$21)</f>
        <v>0.06138</v>
      </c>
      <c r="I67" s="27">
        <f>G67*H67-$B$10</f>
        <v>9951.2350141757</v>
      </c>
      <c r="J67" s="27">
        <f>$B$14*$B$16</f>
        <v>7500</v>
      </c>
      <c r="K67" s="27">
        <f>K66+I67-J67</f>
        <v>-354907.23504504</v>
      </c>
      <c r="L67" s="5">
        <f>IF(I67-J67&gt;=0,1,0)</f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17"/>
  <sheetViews>
    <sheetView tabSelected="0" workbookViewId="0" showGridLines="false" showRowColHeaders="1">
      <selection activeCell="B17" sqref="B17"/>
    </sheetView>
  </sheetViews>
  <sheetFormatPr defaultRowHeight="14.4" outlineLevelRow="0" outlineLevelCol="0"/>
  <cols>
    <col min="1" max="1" width="52" customWidth="true" style="0"/>
    <col min="2" max="2" width="16" customWidth="true" style="0"/>
  </cols>
  <sheetData>
    <row r="1" spans="1:8" customHeight="1" ht="26">
      <c r="A1" s="1" t="s">
        <v>184</v>
      </c>
      <c r="B1" s="2"/>
      <c r="C1" s="2"/>
      <c r="D1" s="2"/>
      <c r="E1" s="2"/>
      <c r="F1" s="2"/>
      <c r="G1" s="2"/>
      <c r="H1" s="2"/>
    </row>
    <row r="3" spans="1:8">
      <c r="A3" s="7" t="s">
        <v>185</v>
      </c>
      <c r="B3" s="8"/>
    </row>
    <row r="4" spans="1:8">
      <c r="A4" s="9" t="s">
        <v>186</v>
      </c>
      <c r="B4" s="12">
        <v>0.5</v>
      </c>
    </row>
    <row r="5" spans="1:8">
      <c r="A5" s="9" t="s">
        <v>187</v>
      </c>
      <c r="B5" s="12">
        <v>0.8</v>
      </c>
    </row>
    <row r="6" spans="1:8">
      <c r="A6" s="9" t="s">
        <v>188</v>
      </c>
      <c r="B6" s="12">
        <v>0.4</v>
      </c>
    </row>
    <row r="7" spans="1:8">
      <c r="A7" s="9" t="s">
        <v>189</v>
      </c>
      <c r="B7" s="12">
        <v>0.9</v>
      </c>
    </row>
    <row r="8" spans="1:8">
      <c r="A8" s="9" t="s">
        <v>190</v>
      </c>
      <c r="B8" s="12">
        <v>0.95</v>
      </c>
    </row>
    <row r="9" spans="1:8">
      <c r="A9" s="23" t="s">
        <v>191</v>
      </c>
      <c r="B9" s="34">
        <f>PRODUCT(B4:B8)</f>
        <v>0.1368</v>
      </c>
    </row>
    <row r="11" spans="1:8">
      <c r="A11" s="7" t="s">
        <v>192</v>
      </c>
      <c r="B11" s="8"/>
    </row>
    <row r="12" spans="1:8">
      <c r="A12" s="9" t="s">
        <v>193</v>
      </c>
      <c r="B12" s="35">
        <f>'Meu modelo'!B14</f>
        <v>30</v>
      </c>
    </row>
    <row r="13" spans="1:8">
      <c r="A13" s="9" t="s">
        <v>194</v>
      </c>
      <c r="B13" s="32">
        <f>IFERROR(ROUNDUP(B12/B9,0),0)</f>
        <v>220</v>
      </c>
    </row>
    <row r="14" spans="1:8">
      <c r="A14" s="9" t="s">
        <v>195</v>
      </c>
      <c r="B14" s="32">
        <f>IFERROR(ROUNDUP(B12/(B6*B7*B8),0),0)</f>
        <v>88</v>
      </c>
    </row>
    <row r="15" spans="1:8">
      <c r="A15" s="9" t="s">
        <v>196</v>
      </c>
      <c r="B15" s="13">
        <v>6</v>
      </c>
    </row>
    <row r="16" spans="1:8">
      <c r="A16" s="9" t="s">
        <v>197</v>
      </c>
      <c r="B16" s="32">
        <f>IFERROR(ROUNDUP(B12/B15,0),0)</f>
        <v>5</v>
      </c>
    </row>
    <row r="17" spans="1:8">
      <c r="A17" s="9" t="s">
        <v>198</v>
      </c>
      <c r="B17" s="33">
        <f>IFERROR('Meu modelo'!B24/B12,0)</f>
        <v>17.825311942959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45"/>
  <sheetViews>
    <sheetView tabSelected="0" workbookViewId="0" showGridLines="false" showRowColHeaders="1">
      <selection activeCell="E43" sqref="E43"/>
    </sheetView>
  </sheetViews>
  <sheetFormatPr defaultRowHeight="14.4" outlineLevelRow="0" outlineLevelCol="0"/>
  <cols>
    <col min="1" max="1" width="40" customWidth="true" style="0"/>
    <col min="2" max="2" width="16" customWidth="true" style="0"/>
    <col min="3" max="3" width="14" customWidth="true" style="0"/>
    <col min="4" max="4" width="15" customWidth="true" style="0"/>
    <col min="5" max="5" width="15" customWidth="true" style="0"/>
    <col min="6" max="6" width="13" customWidth="true" style="0"/>
  </cols>
  <sheetData>
    <row r="1" spans="1:8" customHeight="1" ht="26">
      <c r="A1" s="1" t="s">
        <v>199</v>
      </c>
      <c r="B1" s="2"/>
      <c r="C1" s="2"/>
      <c r="D1" s="2"/>
      <c r="E1" s="2"/>
      <c r="F1" s="2"/>
      <c r="G1" s="2"/>
      <c r="H1" s="2"/>
    </row>
    <row r="3" spans="1:8">
      <c r="A3" s="9" t="s">
        <v>200</v>
      </c>
      <c r="B3" s="20">
        <f>Premissas!B31</f>
        <v>60000</v>
      </c>
    </row>
    <row r="4" spans="1:8">
      <c r="A4" s="9" t="s">
        <v>68</v>
      </c>
      <c r="B4" s="12">
        <v>0.95</v>
      </c>
    </row>
    <row r="6" spans="1:8">
      <c r="A6" s="15" t="s">
        <v>201</v>
      </c>
      <c r="B6" s="15" t="s">
        <v>202</v>
      </c>
      <c r="C6" s="15" t="s">
        <v>85</v>
      </c>
      <c r="D6" s="15" t="s">
        <v>203</v>
      </c>
      <c r="E6" s="15" t="s">
        <v>204</v>
      </c>
      <c r="F6" s="15" t="s">
        <v>205</v>
      </c>
    </row>
    <row r="7" spans="1:8">
      <c r="A7" s="4" t="s">
        <v>206</v>
      </c>
      <c r="B7" s="4"/>
      <c r="C7" s="4" t="s">
        <v>67</v>
      </c>
      <c r="D7" s="13">
        <v>2500</v>
      </c>
      <c r="E7" s="32">
        <f>IF(D7="","",MAX(0,(D7-IF(C7="Trifásica",100,IF(C7="Bifásica",50,30)))*$B$4))</f>
        <v>2280</v>
      </c>
      <c r="F7" s="21">
        <f>IF(E7="","",IFERROR(E7/$B$3,0))</f>
        <v>0.038</v>
      </c>
    </row>
    <row r="8" spans="1:8">
      <c r="A8" s="4" t="s">
        <v>207</v>
      </c>
      <c r="B8" s="4"/>
      <c r="C8" s="4" t="s">
        <v>67</v>
      </c>
      <c r="D8" s="13">
        <v>4000</v>
      </c>
      <c r="E8" s="32">
        <f>IF(D8="","",MAX(0,(D8-IF(C8="Trifásica",100,IF(C8="Bifásica",50,30)))*$B$4))</f>
        <v>3705</v>
      </c>
      <c r="F8" s="21">
        <f>IF(E8="","",IFERROR(E8/$B$3,0))</f>
        <v>0.06175</v>
      </c>
    </row>
    <row r="9" spans="1:8">
      <c r="A9" s="4" t="s">
        <v>208</v>
      </c>
      <c r="B9" s="4"/>
      <c r="C9" s="4" t="s">
        <v>67</v>
      </c>
      <c r="D9" s="13">
        <v>6200</v>
      </c>
      <c r="E9" s="32">
        <f>IF(D9="","",MAX(0,(D9-IF(C9="Trifásica",100,IF(C9="Bifásica",50,30)))*$B$4))</f>
        <v>5795</v>
      </c>
      <c r="F9" s="21">
        <f>IF(E9="","",IFERROR(E9/$B$3,0))</f>
        <v>0.096583333333333</v>
      </c>
    </row>
    <row r="10" spans="1:8">
      <c r="A10" s="4" t="s">
        <v>209</v>
      </c>
      <c r="B10" s="4"/>
      <c r="C10" s="4" t="s">
        <v>67</v>
      </c>
      <c r="D10" s="13">
        <v>3800</v>
      </c>
      <c r="E10" s="32">
        <f>IF(D10="","",MAX(0,(D10-IF(C10="Trifásica",100,IF(C10="Bifásica",50,30)))*$B$4))</f>
        <v>3515</v>
      </c>
      <c r="F10" s="21">
        <f>IF(E10="","",IFERROR(E10/$B$3,0))</f>
        <v>0.058583333333333</v>
      </c>
    </row>
    <row r="11" spans="1:8">
      <c r="A11" s="4" t="s">
        <v>210</v>
      </c>
      <c r="B11" s="4"/>
      <c r="C11" s="4" t="s">
        <v>67</v>
      </c>
      <c r="D11" s="13">
        <v>2200</v>
      </c>
      <c r="E11" s="32">
        <f>IF(D11="","",MAX(0,(D11-IF(C11="Trifásica",100,IF(C11="Bifásica",50,30)))*$B$4))</f>
        <v>1995</v>
      </c>
      <c r="F11" s="21">
        <f>IF(E11="","",IFERROR(E11/$B$3,0))</f>
        <v>0.03325</v>
      </c>
    </row>
    <row r="12" spans="1:8">
      <c r="A12" s="4" t="s">
        <v>211</v>
      </c>
      <c r="B12" s="4"/>
      <c r="C12" s="4" t="s">
        <v>67</v>
      </c>
      <c r="D12" s="13">
        <v>5200</v>
      </c>
      <c r="E12" s="32">
        <f>IF(D12="","",MAX(0,(D12-IF(C12="Trifásica",100,IF(C12="Bifásica",50,30)))*$B$4))</f>
        <v>4845</v>
      </c>
      <c r="F12" s="21">
        <f>IF(E12="","",IFERROR(E12/$B$3,0))</f>
        <v>0.08075</v>
      </c>
    </row>
    <row r="13" spans="1:8">
      <c r="A13" s="4" t="s">
        <v>212</v>
      </c>
      <c r="B13" s="4"/>
      <c r="C13" s="4" t="s">
        <v>67</v>
      </c>
      <c r="D13" s="13">
        <v>9000</v>
      </c>
      <c r="E13" s="32">
        <f>IF(D13="","",MAX(0,(D13-IF(C13="Trifásica",100,IF(C13="Bifásica",50,30)))*$B$4))</f>
        <v>8455</v>
      </c>
      <c r="F13" s="21">
        <f>IF(E13="","",IFERROR(E13/$B$3,0))</f>
        <v>0.14091666666667</v>
      </c>
    </row>
    <row r="14" spans="1:8">
      <c r="A14" s="4" t="s">
        <v>213</v>
      </c>
      <c r="B14" s="4"/>
      <c r="C14" s="4" t="s">
        <v>67</v>
      </c>
      <c r="D14" s="13">
        <v>3200</v>
      </c>
      <c r="E14" s="32">
        <f>IF(D14="","",MAX(0,(D14-IF(C14="Trifásica",100,IF(C14="Bifásica",50,30)))*$B$4))</f>
        <v>2945</v>
      </c>
      <c r="F14" s="21">
        <f>IF(E14="","",IFERROR(E14/$B$3,0))</f>
        <v>0.049083333333333</v>
      </c>
    </row>
    <row r="15" spans="1:8">
      <c r="A15" s="4" t="s">
        <v>214</v>
      </c>
      <c r="B15" s="4"/>
      <c r="C15" s="4" t="s">
        <v>88</v>
      </c>
      <c r="D15" s="13">
        <v>1400</v>
      </c>
      <c r="E15" s="32">
        <f>IF(D15="","",MAX(0,(D15-IF(C15="Trifásica",100,IF(C15="Bifásica",50,30)))*$B$4))</f>
        <v>1282.5</v>
      </c>
      <c r="F15" s="21">
        <f>IF(E15="","",IFERROR(E15/$B$3,0))</f>
        <v>0.021375</v>
      </c>
    </row>
    <row r="16" spans="1:8">
      <c r="A16" s="4" t="s">
        <v>215</v>
      </c>
      <c r="B16" s="4"/>
      <c r="C16" s="4" t="s">
        <v>88</v>
      </c>
      <c r="D16" s="13">
        <v>450</v>
      </c>
      <c r="E16" s="32">
        <f>IF(D16="","",MAX(0,(D16-IF(C16="Trifásica",100,IF(C16="Bifásica",50,30)))*$B$4))</f>
        <v>380</v>
      </c>
      <c r="F16" s="21">
        <f>IF(E16="","",IFERROR(E16/$B$3,0))</f>
        <v>0.0063333333333333</v>
      </c>
    </row>
    <row r="17" spans="1:8">
      <c r="A17" s="4" t="s">
        <v>216</v>
      </c>
      <c r="B17" s="4"/>
      <c r="C17" s="4" t="s">
        <v>88</v>
      </c>
      <c r="D17" s="13">
        <v>600</v>
      </c>
      <c r="E17" s="32">
        <f>IF(D17="","",MAX(0,(D17-IF(C17="Trifásica",100,IF(C17="Bifásica",50,30)))*$B$4))</f>
        <v>522.5</v>
      </c>
      <c r="F17" s="21">
        <f>IF(E17="","",IFERROR(E17/$B$3,0))</f>
        <v>0.0087083333333333</v>
      </c>
    </row>
    <row r="18" spans="1:8">
      <c r="A18" s="4" t="s">
        <v>217</v>
      </c>
      <c r="B18" s="4"/>
      <c r="C18" s="4" t="s">
        <v>88</v>
      </c>
      <c r="D18" s="13">
        <v>520</v>
      </c>
      <c r="E18" s="32">
        <f>IF(D18="","",MAX(0,(D18-IF(C18="Trifásica",100,IF(C18="Bifásica",50,30)))*$B$4))</f>
        <v>446.5</v>
      </c>
      <c r="F18" s="21">
        <f>IF(E18="","",IFERROR(E18/$B$3,0))</f>
        <v>0.0074416666666667</v>
      </c>
    </row>
    <row r="19" spans="1:8">
      <c r="A19" s="4" t="s">
        <v>218</v>
      </c>
      <c r="B19" s="4"/>
      <c r="C19" s="4" t="s">
        <v>87</v>
      </c>
      <c r="D19" s="13">
        <v>320</v>
      </c>
      <c r="E19" s="32">
        <f>IF(D19="","",MAX(0,(D19-IF(C19="Trifásica",100,IF(C19="Bifásica",50,30)))*$B$4))</f>
        <v>275.5</v>
      </c>
      <c r="F19" s="21">
        <f>IF(E19="","",IFERROR(E19/$B$3,0))</f>
        <v>0.0045916666666667</v>
      </c>
    </row>
    <row r="20" spans="1:8">
      <c r="A20" s="4" t="s">
        <v>219</v>
      </c>
      <c r="B20" s="4"/>
      <c r="C20" s="4" t="s">
        <v>88</v>
      </c>
      <c r="D20" s="13">
        <v>780</v>
      </c>
      <c r="E20" s="32">
        <f>IF(D20="","",MAX(0,(D20-IF(C20="Trifásica",100,IF(C20="Bifásica",50,30)))*$B$4))</f>
        <v>693.5</v>
      </c>
      <c r="F20" s="21">
        <f>IF(E20="","",IFERROR(E20/$B$3,0))</f>
        <v>0.011558333333333</v>
      </c>
    </row>
    <row r="21" spans="1:8">
      <c r="A21" s="4" t="s">
        <v>220</v>
      </c>
      <c r="B21" s="4"/>
      <c r="C21" s="4" t="s">
        <v>88</v>
      </c>
      <c r="D21" s="13">
        <v>900</v>
      </c>
      <c r="E21" s="32">
        <f>IF(D21="","",MAX(0,(D21-IF(C21="Trifásica",100,IF(C21="Bifásica",50,30)))*$B$4))</f>
        <v>807.5</v>
      </c>
      <c r="F21" s="21">
        <f>IF(E21="","",IFERROR(E21/$B$3,0))</f>
        <v>0.013458333333333</v>
      </c>
    </row>
    <row r="22" spans="1:8">
      <c r="A22" s="4"/>
      <c r="B22" s="4"/>
      <c r="C22" s="4"/>
      <c r="D22" s="13"/>
      <c r="E22" s="32" t="str">
        <f>IF(D22="","",MAX(0,(D22-IF(C22="Trifásica",100,IF(C22="Bifásica",50,30)))*$B$4))</f>
        <v/>
      </c>
      <c r="F22" s="21" t="str">
        <f>IF(E22="","",IFERROR(E22/$B$3,0))</f>
        <v/>
      </c>
    </row>
    <row r="23" spans="1:8">
      <c r="A23" s="4"/>
      <c r="B23" s="4"/>
      <c r="C23" s="4"/>
      <c r="D23" s="13"/>
      <c r="E23" s="32" t="str">
        <f>IF(D23="","",MAX(0,(D23-IF(C23="Trifásica",100,IF(C23="Bifásica",50,30)))*$B$4))</f>
        <v/>
      </c>
      <c r="F23" s="21" t="str">
        <f>IF(E23="","",IFERROR(E23/$B$3,0))</f>
        <v/>
      </c>
    </row>
    <row r="24" spans="1:8">
      <c r="A24" s="4"/>
      <c r="B24" s="4"/>
      <c r="C24" s="4"/>
      <c r="D24" s="13"/>
      <c r="E24" s="32" t="str">
        <f>IF(D24="","",MAX(0,(D24-IF(C24="Trifásica",100,IF(C24="Bifásica",50,30)))*$B$4))</f>
        <v/>
      </c>
      <c r="F24" s="21" t="str">
        <f>IF(E24="","",IFERROR(E24/$B$3,0))</f>
        <v/>
      </c>
    </row>
    <row r="25" spans="1:8">
      <c r="A25" s="4"/>
      <c r="B25" s="4"/>
      <c r="C25" s="4"/>
      <c r="D25" s="13"/>
      <c r="E25" s="32" t="str">
        <f>IF(D25="","",MAX(0,(D25-IF(C25="Trifásica",100,IF(C25="Bifásica",50,30)))*$B$4))</f>
        <v/>
      </c>
      <c r="F25" s="21" t="str">
        <f>IF(E25="","",IFERROR(E25/$B$3,0))</f>
        <v/>
      </c>
    </row>
    <row r="26" spans="1:8">
      <c r="A26" s="4"/>
      <c r="B26" s="4"/>
      <c r="C26" s="4"/>
      <c r="D26" s="13"/>
      <c r="E26" s="32" t="str">
        <f>IF(D26="","",MAX(0,(D26-IF(C26="Trifásica",100,IF(C26="Bifásica",50,30)))*$B$4))</f>
        <v/>
      </c>
      <c r="F26" s="21" t="str">
        <f>IF(E26="","",IFERROR(E26/$B$3,0))</f>
        <v/>
      </c>
    </row>
    <row r="27" spans="1:8">
      <c r="A27" s="4"/>
      <c r="B27" s="4"/>
      <c r="C27" s="4"/>
      <c r="D27" s="13"/>
      <c r="E27" s="32" t="str">
        <f>IF(D27="","",MAX(0,(D27-IF(C27="Trifásica",100,IF(C27="Bifásica",50,30)))*$B$4))</f>
        <v/>
      </c>
      <c r="F27" s="21" t="str">
        <f>IF(E27="","",IFERROR(E27/$B$3,0))</f>
        <v/>
      </c>
    </row>
    <row r="28" spans="1:8">
      <c r="A28" s="4"/>
      <c r="B28" s="4"/>
      <c r="C28" s="4"/>
      <c r="D28" s="13"/>
      <c r="E28" s="32" t="str">
        <f>IF(D28="","",MAX(0,(D28-IF(C28="Trifásica",100,IF(C28="Bifásica",50,30)))*$B$4))</f>
        <v/>
      </c>
      <c r="F28" s="21" t="str">
        <f>IF(E28="","",IFERROR(E28/$B$3,0))</f>
        <v/>
      </c>
    </row>
    <row r="29" spans="1:8">
      <c r="A29" s="4"/>
      <c r="B29" s="4"/>
      <c r="C29" s="4"/>
      <c r="D29" s="13"/>
      <c r="E29" s="32" t="str">
        <f>IF(D29="","",MAX(0,(D29-IF(C29="Trifásica",100,IF(C29="Bifásica",50,30)))*$B$4))</f>
        <v/>
      </c>
      <c r="F29" s="21" t="str">
        <f>IF(E29="","",IFERROR(E29/$B$3,0))</f>
        <v/>
      </c>
    </row>
    <row r="30" spans="1:8">
      <c r="A30" s="4"/>
      <c r="B30" s="4"/>
      <c r="C30" s="4"/>
      <c r="D30" s="13"/>
      <c r="E30" s="32" t="str">
        <f>IF(D30="","",MAX(0,(D30-IF(C30="Trifásica",100,IF(C30="Bifásica",50,30)))*$B$4))</f>
        <v/>
      </c>
      <c r="F30" s="21" t="str">
        <f>IF(E30="","",IFERROR(E30/$B$3,0))</f>
        <v/>
      </c>
    </row>
    <row r="31" spans="1:8">
      <c r="A31" s="4"/>
      <c r="B31" s="4"/>
      <c r="C31" s="4"/>
      <c r="D31" s="13"/>
      <c r="E31" s="32" t="str">
        <f>IF(D31="","",MAX(0,(D31-IF(C31="Trifásica",100,IF(C31="Bifásica",50,30)))*$B$4))</f>
        <v/>
      </c>
      <c r="F31" s="21" t="str">
        <f>IF(E31="","",IFERROR(E31/$B$3,0))</f>
        <v/>
      </c>
    </row>
    <row r="32" spans="1:8">
      <c r="A32" s="4"/>
      <c r="B32" s="4"/>
      <c r="C32" s="4"/>
      <c r="D32" s="13"/>
      <c r="E32" s="32" t="str">
        <f>IF(D32="","",MAX(0,(D32-IF(C32="Trifásica",100,IF(C32="Bifásica",50,30)))*$B$4))</f>
        <v/>
      </c>
      <c r="F32" s="21" t="str">
        <f>IF(E32="","",IFERROR(E32/$B$3,0))</f>
        <v/>
      </c>
    </row>
    <row r="33" spans="1:8">
      <c r="A33" s="4"/>
      <c r="B33" s="4"/>
      <c r="C33" s="4"/>
      <c r="D33" s="13"/>
      <c r="E33" s="32" t="str">
        <f>IF(D33="","",MAX(0,(D33-IF(C33="Trifásica",100,IF(C33="Bifásica",50,30)))*$B$4))</f>
        <v/>
      </c>
      <c r="F33" s="21" t="str">
        <f>IF(E33="","",IFERROR(E33/$B$3,0))</f>
        <v/>
      </c>
    </row>
    <row r="34" spans="1:8">
      <c r="A34" s="4"/>
      <c r="B34" s="4"/>
      <c r="C34" s="4"/>
      <c r="D34" s="13"/>
      <c r="E34" s="32" t="str">
        <f>IF(D34="","",MAX(0,(D34-IF(C34="Trifásica",100,IF(C34="Bifásica",50,30)))*$B$4))</f>
        <v/>
      </c>
      <c r="F34" s="21" t="str">
        <f>IF(E34="","",IFERROR(E34/$B$3,0))</f>
        <v/>
      </c>
    </row>
    <row r="35" spans="1:8">
      <c r="A35" s="4"/>
      <c r="B35" s="4"/>
      <c r="C35" s="4"/>
      <c r="D35" s="13"/>
      <c r="E35" s="32" t="str">
        <f>IF(D35="","",MAX(0,(D35-IF(C35="Trifásica",100,IF(C35="Bifásica",50,30)))*$B$4))</f>
        <v/>
      </c>
      <c r="F35" s="21" t="str">
        <f>IF(E35="","",IFERROR(E35/$B$3,0))</f>
        <v/>
      </c>
    </row>
    <row r="36" spans="1:8">
      <c r="A36" s="4"/>
      <c r="B36" s="4"/>
      <c r="C36" s="4"/>
      <c r="D36" s="13"/>
      <c r="E36" s="32" t="str">
        <f>IF(D36="","",MAX(0,(D36-IF(C36="Trifásica",100,IF(C36="Bifásica",50,30)))*$B$4))</f>
        <v/>
      </c>
      <c r="F36" s="21" t="str">
        <f>IF(E36="","",IFERROR(E36/$B$3,0))</f>
        <v/>
      </c>
    </row>
    <row r="38" spans="1:8">
      <c r="A38" s="23" t="s">
        <v>221</v>
      </c>
      <c r="E38" s="36">
        <f>SUM(E7:E36)</f>
        <v>37943</v>
      </c>
    </row>
    <row r="39" spans="1:8">
      <c r="A39" s="23" t="s">
        <v>222</v>
      </c>
      <c r="E39" s="34">
        <f>IFERROR(E38/B3,0)</f>
        <v>0.63238333333333</v>
      </c>
    </row>
    <row r="40" spans="1:8">
      <c r="A40" s="9" t="s">
        <v>223</v>
      </c>
      <c r="E40" s="21">
        <f>IFERROR(MAX(F7:F36),0)</f>
        <v>0.14091666666667</v>
      </c>
    </row>
    <row r="41" spans="1:8">
      <c r="A41" s="9" t="s">
        <v>224</v>
      </c>
      <c r="E41" s="32">
        <f>B3-E38</f>
        <v>22057</v>
      </c>
    </row>
    <row r="42" spans="1:8">
      <c r="A42" s="9" t="s">
        <v>225</v>
      </c>
      <c r="E42" s="5" t="str">
        <f>IF(AND(E39&gt;=0.9,E39&lt;=0.98),"OK","AJUSTAR")</f>
        <v>AJUSTAR</v>
      </c>
    </row>
    <row r="43" spans="1:8">
      <c r="A43" s="9" t="s">
        <v>226</v>
      </c>
      <c r="E43" s="5" t="str">
        <f>IF(E40&lt;0.25,"OK","RISCO GD III")</f>
        <v>OK</v>
      </c>
    </row>
    <row r="45" spans="1:8">
      <c r="A45" s="16" t="s">
        <v>227</v>
      </c>
    </row>
  </sheetData>
  <mergeCells>
    <mergeCell ref="A1:H1"/>
  </mergeCells>
  <conditionalFormatting sqref="E42:E43">
    <cfRule type="cellIs" dxfId="0" priority="1" operator="equal">
      <formula>"OK"</formula>
    </cfRule>
    <cfRule type="cellIs" dxfId="1" priority="2" operator="notEqual">
      <formula>"OK"</formula>
    </cfRule>
  </conditionalFormatting>
  <dataValidations count="1">
    <dataValidation type="list" errorStyle="stop" operator="between" allowBlank="0" showDropDown="0" showInputMessage="0" showErrorMessage="1" sqref="C7:C36">
      <formula1>"Monofásica,Bifásica,Trifásica"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H20"/>
  <sheetViews>
    <sheetView tabSelected="1" workbookViewId="0" showGridLines="false" showRowColHeaders="1">
      <selection activeCell="G15" sqref="G15"/>
    </sheetView>
  </sheetViews>
  <sheetFormatPr defaultRowHeight="14.4" outlineLevelRow="0" outlineLevelCol="0"/>
  <cols>
    <col min="1" max="1" width="50" customWidth="true" style="0"/>
    <col min="2" max="2" width="13" customWidth="true" style="0"/>
    <col min="3" max="3" width="9" customWidth="true" style="0"/>
    <col min="4" max="4" width="14" customWidth="true" style="0"/>
    <col min="5" max="5" width="14" customWidth="true" style="0"/>
    <col min="6" max="6" width="14" customWidth="true" style="0"/>
    <col min="7" max="7" width="12" customWidth="true" style="0"/>
  </cols>
  <sheetData>
    <row r="1" spans="1:8" customHeight="1" ht="26">
      <c r="A1" s="1" t="s">
        <v>228</v>
      </c>
      <c r="B1" s="2"/>
      <c r="C1" s="2"/>
      <c r="D1" s="2"/>
      <c r="E1" s="2"/>
      <c r="F1" s="2"/>
      <c r="G1" s="2"/>
      <c r="H1" s="2"/>
    </row>
    <row r="3" spans="1:8">
      <c r="A3" s="15" t="s">
        <v>229</v>
      </c>
      <c r="B3" s="15" t="s">
        <v>192</v>
      </c>
      <c r="C3" s="15" t="s">
        <v>230</v>
      </c>
      <c r="D3" s="15" t="s">
        <v>71</v>
      </c>
      <c r="E3" s="15" t="s">
        <v>72</v>
      </c>
      <c r="F3" s="15" t="s">
        <v>73</v>
      </c>
      <c r="G3" s="15" t="s">
        <v>73</v>
      </c>
    </row>
    <row r="4" spans="1:8">
      <c r="A4" s="9" t="s">
        <v>231</v>
      </c>
      <c r="B4" s="12">
        <v>0.9</v>
      </c>
      <c r="C4" s="37" t="s">
        <v>232</v>
      </c>
      <c r="D4" s="12">
        <v>0.91</v>
      </c>
      <c r="E4" s="12">
        <v>0.94</v>
      </c>
      <c r="F4" s="12">
        <v>0.95</v>
      </c>
      <c r="G4" s="5" t="str">
        <f>IF(F4="","",IF(IF(C4="&gt;=",F4&gt;=B4,F4&lt;=B4),"verde","vermelho"))</f>
        <v>verde</v>
      </c>
    </row>
    <row r="5" spans="1:8">
      <c r="A5" s="9" t="s">
        <v>233</v>
      </c>
      <c r="B5" s="12">
        <v>0.95</v>
      </c>
      <c r="C5" s="37" t="s">
        <v>232</v>
      </c>
      <c r="D5" s="12">
        <v>0.97</v>
      </c>
      <c r="E5" s="12">
        <v>0.92</v>
      </c>
      <c r="F5" s="12">
        <v>0.99</v>
      </c>
      <c r="G5" s="5" t="str">
        <f>IF(F5="","",IF(IF(C5="&gt;=",F5&gt;=B5,F5&lt;=B5),"verde","vermelho"))</f>
        <v>verde</v>
      </c>
    </row>
    <row r="6" spans="1:8">
      <c r="A6" s="9" t="s">
        <v>234</v>
      </c>
      <c r="B6" s="12">
        <v>0.95</v>
      </c>
      <c r="C6" s="37" t="s">
        <v>232</v>
      </c>
      <c r="D6" s="12">
        <v>0.9</v>
      </c>
      <c r="E6" s="12">
        <v>0.96</v>
      </c>
      <c r="F6" s="12">
        <v>0.97</v>
      </c>
      <c r="G6" s="5" t="str">
        <f>IF(F6="","",IF(IF(C6="&gt;=",F6&gt;=B6,F6&lt;=B6),"verde","vermelho"))</f>
        <v>verde</v>
      </c>
    </row>
    <row r="7" spans="1:8">
      <c r="A7" s="9" t="s">
        <v>235</v>
      </c>
      <c r="B7" s="13">
        <v>30</v>
      </c>
      <c r="C7" s="37" t="s">
        <v>232</v>
      </c>
      <c r="D7" s="13">
        <v>18</v>
      </c>
      <c r="E7" s="13">
        <v>26</v>
      </c>
      <c r="F7" s="13">
        <v>31</v>
      </c>
      <c r="G7" s="5" t="str">
        <f>IF(F7="","",IF(IF(C7="&gt;=",F7&gt;=B7,F7&lt;=B7),"verde","vermelho"))</f>
        <v>verde</v>
      </c>
    </row>
    <row r="8" spans="1:8">
      <c r="A8" s="9" t="s">
        <v>236</v>
      </c>
      <c r="B8" s="12">
        <v>0.25</v>
      </c>
      <c r="C8" s="37" t="s">
        <v>232</v>
      </c>
      <c r="D8" s="12">
        <v>0.22</v>
      </c>
      <c r="E8" s="12">
        <v>0.27</v>
      </c>
      <c r="F8" s="12">
        <v>0.3</v>
      </c>
      <c r="G8" s="5" t="str">
        <f>IF(F8="","",IF(IF(C8="&gt;=",F8&gt;=B8,F8&lt;=B8),"verde","vermelho"))</f>
        <v>verde</v>
      </c>
    </row>
    <row r="9" spans="1:8">
      <c r="A9" s="9" t="s">
        <v>237</v>
      </c>
      <c r="B9" s="28">
        <v>400</v>
      </c>
      <c r="C9" s="37" t="s">
        <v>238</v>
      </c>
      <c r="D9" s="28">
        <v>520</v>
      </c>
      <c r="E9" s="28">
        <v>450</v>
      </c>
      <c r="F9" s="28">
        <v>390</v>
      </c>
      <c r="G9" s="5" t="str">
        <f>IF(F9="","",IF(IF(C9="&gt;=",F9&gt;=B9,F9&lt;=B9),"verde","vermelho"))</f>
        <v>verde</v>
      </c>
    </row>
    <row r="10" spans="1:8">
      <c r="A10" s="9" t="s">
        <v>239</v>
      </c>
      <c r="B10" s="28">
        <v>6000</v>
      </c>
      <c r="C10" s="37" t="s">
        <v>232</v>
      </c>
      <c r="D10" s="28">
        <v>3100</v>
      </c>
      <c r="E10" s="28">
        <v>4800</v>
      </c>
      <c r="F10" s="28">
        <v>6200</v>
      </c>
      <c r="G10" s="5" t="str">
        <f>IF(F10="","",IF(IF(C10="&gt;=",F10&gt;=B10,F10&lt;=B10),"verde","vermelho"))</f>
        <v>verde</v>
      </c>
    </row>
    <row r="11" spans="1:8">
      <c r="A11" s="9" t="s">
        <v>240</v>
      </c>
      <c r="B11" s="12">
        <v>0.95</v>
      </c>
      <c r="C11" s="37" t="s">
        <v>232</v>
      </c>
      <c r="D11" s="12">
        <v>0.89</v>
      </c>
      <c r="E11" s="12">
        <v>0.93</v>
      </c>
      <c r="F11" s="12">
        <v>0.96</v>
      </c>
      <c r="G11" s="5" t="str">
        <f>IF(F11="","",IF(IF(C11="&gt;=",F11&gt;=B11,F11&lt;=B11),"verde","vermelho"))</f>
        <v>verde</v>
      </c>
    </row>
    <row r="12" spans="1:8">
      <c r="A12" s="9" t="s">
        <v>241</v>
      </c>
      <c r="B12" s="12">
        <v>0.03</v>
      </c>
      <c r="C12" s="37" t="s">
        <v>238</v>
      </c>
      <c r="D12" s="12">
        <v>0</v>
      </c>
      <c r="E12" s="12">
        <v>0.025</v>
      </c>
      <c r="F12" s="12">
        <v>0.031</v>
      </c>
      <c r="G12" s="5" t="str">
        <f>IF(F12="","",IF(IF(C12="&gt;=",F12&gt;=B12,F12&lt;=B12),"verde","vermelho"))</f>
        <v>vermelho</v>
      </c>
    </row>
    <row r="13" spans="1:8">
      <c r="A13" s="9" t="s">
        <v>242</v>
      </c>
      <c r="B13" s="28">
        <v>0</v>
      </c>
      <c r="C13" s="37" t="s">
        <v>232</v>
      </c>
      <c r="D13" s="28">
        <v>-14000</v>
      </c>
      <c r="E13" s="28">
        <v>-9000</v>
      </c>
      <c r="F13" s="28">
        <v>-2500</v>
      </c>
      <c r="G13" s="5" t="str">
        <f>IF(F13="","",IF(IF(C13="&gt;=",F13&gt;=B13,F13&lt;=B13),"verde","vermelho"))</f>
        <v>vermelho</v>
      </c>
    </row>
    <row r="14" spans="1:8">
      <c r="A14" s="9" t="s">
        <v>243</v>
      </c>
      <c r="B14" s="12">
        <v>0.01</v>
      </c>
      <c r="C14" s="37" t="s">
        <v>238</v>
      </c>
      <c r="D14" s="12">
        <v>0</v>
      </c>
      <c r="E14" s="12">
        <v>0.007</v>
      </c>
      <c r="F14" s="12">
        <v>0.012</v>
      </c>
      <c r="G14" s="5" t="str">
        <f>IF(F14="","",IF(IF(C14="&gt;=",F14&gt;=B14,F14&lt;=B14),"verde","vermelho"))</f>
        <v>vermelho</v>
      </c>
    </row>
    <row r="15" spans="1:8">
      <c r="A15" s="9" t="s">
        <v>244</v>
      </c>
      <c r="B15" s="28">
        <v>150</v>
      </c>
      <c r="C15" s="37" t="s">
        <v>232</v>
      </c>
      <c r="D15" s="28">
        <v>165</v>
      </c>
      <c r="E15" s="28">
        <v>160</v>
      </c>
      <c r="F15" s="28">
        <v>158</v>
      </c>
      <c r="G15" s="5" t="str">
        <f>IF(F15="","",IF(IF(C15="&gt;=",F15&gt;=B15,F15&lt;=B15),"verde","vermelho"))</f>
        <v>verde</v>
      </c>
    </row>
    <row r="17" spans="1:8">
      <c r="A17" s="16" t="s">
        <v>245</v>
      </c>
    </row>
    <row r="19" spans="1:8">
      <c r="A19" s="23" t="s">
        <v>246</v>
      </c>
    </row>
    <row r="20" spans="1:8">
      <c r="A20" s="38" t="s">
        <v>247</v>
      </c>
    </row>
  </sheetData>
  <mergeCells>
    <mergeCell ref="A1:H1"/>
    <mergeCell ref="A20:G24"/>
  </mergeCells>
  <conditionalFormatting sqref="G4:G15">
    <cfRule type="cellIs" dxfId="2" priority="1" operator="equal">
      <formula>"verde"</formula>
    </cfRule>
    <cfRule type="cellIs" dxfId="3" priority="2" operator="equal">
      <formula>"vermelho"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Leia-me</vt:lpstr>
      <vt:lpstr>Premissas</vt:lpstr>
      <vt:lpstr>Valor do crédito</vt:lpstr>
      <vt:lpstr>Cota e economia</vt:lpstr>
      <vt:lpstr>Unit economics</vt:lpstr>
      <vt:lpstr>Cenários Fio B</vt:lpstr>
      <vt:lpstr>Meu modelo</vt:lpstr>
      <vt:lpstr>Funil e metas</vt:lpstr>
      <vt:lpstr>Plano de ocupação</vt:lpstr>
      <vt:lpstr>Painel de indicadores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2026-10-30T03:33:07+08:00</dcterms:created>
  <dcterms:modified xsi:type="dcterms:W3CDTF">2026-10-30T03:33:07+08:00</dcterms:modified>
  <dc:title>Untitled Spreadsheet</dc:title>
  <dc:description/>
  <dc:subject/>
  <cp:keywords/>
  <cp:category/>
</cp:coreProperties>
</file>